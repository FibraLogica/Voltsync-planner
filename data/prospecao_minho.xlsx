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ospeção" sheetId="2" state="visible" r:id="rId4"/>
    <sheet name="Últimos contratos" sheetId="3" state="visible" r:id="rId5"/>
    <sheet name="Concorrentes" sheetId="4" state="visible" r:id="rId6"/>
  </sheets>
  <definedNames>
    <definedName function="false" hidden="true" localSheetId="3" name="_xlnm._FilterDatabase" vbProcedure="false">Concorrentes!$A$1:$F$121</definedName>
    <definedName function="false" hidden="true" localSheetId="1" name="_xlnm._FilterDatabase" vbProcedure="false">Prospeção!$A$4:$AB$230</definedName>
    <definedName function="false" hidden="true" localSheetId="2" name="_xlnm._FilterDatabase" vbProcedure="false">'Últimos contratos'!$A$1:$I$593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<sst xmlns="http://schemas.openxmlformats.org/spreadsheetml/2006/main" count="6863" uniqueCount="2388">
  <si>
    <t xml:space="preserve">Resumo do funil</t>
  </si>
  <si>
    <t xml:space="preserve">Estado</t>
  </si>
  <si>
    <t xml:space="preserve">Entidades</t>
  </si>
  <si>
    <t xml:space="preserve">€ por convite (18 m)</t>
  </si>
  <si>
    <t xml:space="preserve">Por contactar</t>
  </si>
  <si>
    <t xml:space="preserve">Contactado</t>
  </si>
  <si>
    <t xml:space="preserve">Reunião marcada</t>
  </si>
  <si>
    <t xml:space="preserve">Registado como fornecedor</t>
  </si>
  <si>
    <t xml:space="preserve">Convidado</t>
  </si>
  <si>
    <t xml:space="preserve">Proposta entregue</t>
  </si>
  <si>
    <t xml:space="preserve">Ganho</t>
  </si>
  <si>
    <t xml:space="preserve">Perdido</t>
  </si>
  <si>
    <t xml:space="preserve">Sem interesse</t>
  </si>
  <si>
    <t xml:space="preserve">Total</t>
  </si>
  <si>
    <t xml:space="preserve">Como ler a folha Prospeção</t>
  </si>
  <si>
    <t xml:space="preserve">Prioridade = n.º de contratos por convite × peso da categoria (obra elétrica 1,0; segurança 0,8; projeto 0,7; software 0,6) × 1,2 se contratou nos últimos 12 meses (0,8 se não) × 0,7 se um só fornecedor leva mais de 60 % (mercado fechado).</t>
  </si>
  <si>
    <t xml:space="preserve">Por convite = ajuste direto (regime geral) + consulta prévia. Limiares CCP desde 1 out 2026 (DL 177/2026): ajuste direto até 150.000 € empreitadas / 75.000 € serviços; consulta prévia até 1.000.000 € / 130.000 €.</t>
  </si>
  <si>
    <t xml:space="preserve">Faixas de preço = quantos contratos a entidade fez em cada faixa: diz em que escalão a VoltSync deve apresentar-se.</t>
  </si>
  <si>
    <t xml:space="preserve">Fornecedor dominante % = quota do fornecedor mais usado; acima de 60 % é difícil entrar.</t>
  </si>
  <si>
    <t xml:space="preserve">Células amarelas são as únicas a preencher. Estado e Responsável têm lista pendente. O Resumo atualiza-se sozinho.</t>
  </si>
  <si>
    <t xml:space="preserve">Alvará VoltSync 117403-PUB: classe 2 (empreitadas até 332.000 €), 4.ª categoria, subcategorias 1.ª–8.ª, 10.ª–12.ª, 16.ª–19.ª.</t>
  </si>
  <si>
    <t xml:space="preserve">Fonte dos dados: dataset oficial do IMPIC (dados.gov.pt), contratos publicados no Portal BASE. Regenerado todas as segundas-feiras pelo pipeline Radar VoltSync (GitHub).</t>
  </si>
  <si>
    <t xml:space="preserve">Prospeção comercial VoltSync — entidades do Minho que contratam por convite (ajuste direto / consulta prévia)</t>
  </si>
  <si>
    <t xml:space="preserve">Fonte: Portal BASE (IMPIC), últimos 18 meses, gerado em 2026-10-08. Preencher só as colunas amarelas (Estado, Responsável, Contacto, Próximo passo, Data, Notas).</t>
  </si>
  <si>
    <t xml:space="preserve">#</t>
  </si>
  <si>
    <t xml:space="preserve">Entidade</t>
  </si>
  <si>
    <t xml:space="preserve">NIF</t>
  </si>
  <si>
    <t xml:space="preserve">Prioridade</t>
  </si>
  <si>
    <t xml:space="preserve">Contratos (18 m)</t>
  </si>
  <si>
    <t xml:space="preserve">Por convite</t>
  </si>
  <si>
    <t xml:space="preserve">€ por convite</t>
  </si>
  <si>
    <t xml:space="preserve">Eletricidade</t>
  </si>
  <si>
    <t xml:space="preserve">Projeto</t>
  </si>
  <si>
    <t xml:space="preserve">Software/TI</t>
  </si>
  <si>
    <t xml:space="preserve">Mob. elétrica</t>
  </si>
  <si>
    <t xml:space="preserve">Fotovoltaico</t>
  </si>
  <si>
    <t xml:space="preserve">Seg./incêndio</t>
  </si>
  <si>
    <t xml:space="preserve">&lt;20 k€</t>
  </si>
  <si>
    <t xml:space="preserve">20–75 k€</t>
  </si>
  <si>
    <t xml:space="preserve">75–150 k€</t>
  </si>
  <si>
    <t xml:space="preserve">&gt;150 k€</t>
  </si>
  <si>
    <t xml:space="preserve">Fornecedores habituais</t>
  </si>
  <si>
    <t xml:space="preserve">Forn. dominante %</t>
  </si>
  <si>
    <t xml:space="preserve">Último contrato</t>
  </si>
  <si>
    <t xml:space="preserve">Último objeto</t>
  </si>
  <si>
    <t xml:space="preserve">Pesquisa no BASE</t>
  </si>
  <si>
    <t xml:space="preserve">Responsável</t>
  </si>
  <si>
    <t xml:space="preserve">Contacto (nome/email/telefone)</t>
  </si>
  <si>
    <t xml:space="preserve">Próximo passo</t>
  </si>
  <si>
    <t xml:space="preserve">Data</t>
  </si>
  <si>
    <t xml:space="preserve">Notas</t>
  </si>
  <si>
    <t xml:space="preserve">Município de Vila Nova de Famalicão</t>
  </si>
  <si>
    <t xml:space="preserve">506663264</t>
  </si>
  <si>
    <t xml:space="preserve">BuiltinLT Instalações Especiais, Lda (4); Cunha Bastos, Lda (3); GONKSYS, S.A. (3)</t>
  </si>
  <si>
    <t xml:space="preserve">2026-10-01</t>
  </si>
  <si>
    <t xml:space="preserve">Iluminação Pública - Separador Central da Avenida dos Descobrimentos - UF de V. N. de Famalicão e Calendário</t>
  </si>
  <si>
    <t xml:space="preserve">abrir contratos</t>
  </si>
  <si>
    <t xml:space="preserve">Município de Braga</t>
  </si>
  <si>
    <t xml:space="preserve">506901173</t>
  </si>
  <si>
    <t xml:space="preserve">Maxiglobal Equipamentos e Serviços de Informática S.A. (4); Tabique Engenharia Lda. (3); I-Sete Inovação Soluções Económicas e Tecnologias Ecológicas, Lda (+1) (3)</t>
  </si>
  <si>
    <t xml:space="preserve">2026-09-21</t>
  </si>
  <si>
    <t xml:space="preserve">CPR/96/26/DCP - Aquisição de Plataformas de Gestão de Ocorrências</t>
  </si>
  <si>
    <t xml:space="preserve">Município de Guimarães</t>
  </si>
  <si>
    <t xml:space="preserve">505948605</t>
  </si>
  <si>
    <t xml:space="preserve">Narciso de Carvalho &amp; Filhos, Lda (5); RT Telecomunicações Lda (3); SINTIMEX - Soc. Internacional de Imp. e Exp. S.A (3)</t>
  </si>
  <si>
    <t xml:space="preserve">2026-09-30</t>
  </si>
  <si>
    <t xml:space="preserve">Fornecimento, instalação e execução de intervenções nos sistemas de CCTV do Edifício Sede, Mercado Municipal e Avepark</t>
  </si>
  <si>
    <t xml:space="preserve">Unidade Local de Saúde do Alto Minho, EPE</t>
  </si>
  <si>
    <t xml:space="preserve">508786193</t>
  </si>
  <si>
    <t xml:space="preserve">GONKSYS, S.A. (9); Serviço de Utilização Comum dos Hospitais (4); GLINTT-HEALTHCARE SOLUTIONS,S.A(CPCHS) (2)</t>
  </si>
  <si>
    <t xml:space="preserve">2026-08-14</t>
  </si>
  <si>
    <t xml:space="preserve">2026/0415 - Aquisição de Unidades de Alimentação Ininterruptas (UPS – “Uninterruptible Power Supplies”) em unidades de p</t>
  </si>
  <si>
    <t xml:space="preserve">Unidade Local Saúde de Braga, E.P.E.</t>
  </si>
  <si>
    <t xml:space="preserve">515545180</t>
  </si>
  <si>
    <t xml:space="preserve">Escala Braga - Sociedade Gestora do Edifício, S.A (3); Wire Maze - Sistemas Informação, Sa (3); ART CES - UNIPESSOAL, LDA. (3)</t>
  </si>
  <si>
    <t xml:space="preserve">2026-09-24</t>
  </si>
  <si>
    <t xml:space="preserve">Aquisição de serviços de Gestão de Projetos para acompanhamento do portefólio de projetos de Transformação Digital e Tec</t>
  </si>
  <si>
    <t xml:space="preserve">Município de Ponte de Lima</t>
  </si>
  <si>
    <t xml:space="preserve">506811913</t>
  </si>
  <si>
    <t xml:space="preserve">Visualforma - Tecnologias de Informação, S.A. (2); Diogo Luís Palhares Gonçalves (2); ENERMETER-SISTEMAS DE MEDIÇÃO, UNIPESSOAL LDA (2)</t>
  </si>
  <si>
    <t xml:space="preserve">2026-10-02</t>
  </si>
  <si>
    <t xml:space="preserve">Aquisição de serviços para digitalização de acervo documental</t>
  </si>
  <si>
    <t xml:space="preserve">Universidade do Minho</t>
  </si>
  <si>
    <t xml:space="preserve">502011378</t>
  </si>
  <si>
    <t xml:space="preserve">UP Motion, Lda (3); Timberlake Consultores, Lda (3); ESSS – Engineering Simulation and Scientific Software Portugal, Lda. (3)</t>
  </si>
  <si>
    <t xml:space="preserve">2026-09-25</t>
  </si>
  <si>
    <t xml:space="preserve">PROCEDIMENTO PARA FORMAÇÃO DE CONTRATO DE AQUISIÇÃO DE SERVIÇOS NECESSÁRIOS AO DESENVOLVIMENTO DE ATIVIDADES DE I&amp;D -FOR</t>
  </si>
  <si>
    <t xml:space="preserve">Município de Viana do Castelo</t>
  </si>
  <si>
    <t xml:space="preserve">506037258</t>
  </si>
  <si>
    <t xml:space="preserve">SOMA PIRAMIDAL - GABINETE DE PROJETOS UNIPESSOAL, LDA. (2); Vaproj, Lda. (2); CUNHA BASTOS, LDA (2)</t>
  </si>
  <si>
    <t xml:space="preserve">2026-09-08</t>
  </si>
  <si>
    <t xml:space="preserve">PRESTAÇÃO DE SERVIÇO PARA A ELABORAÇÃO DO PROJETO DE EXECUÇÃO DA REABILITAÇÃO E AMPLIAÇÃO DA ESCOLA EB1 E JI DA AREOSA</t>
  </si>
  <si>
    <t xml:space="preserve">Município de Barcelos</t>
  </si>
  <si>
    <t xml:space="preserve">505584760</t>
  </si>
  <si>
    <t xml:space="preserve">JRTORRES - Consultores de Engenharia, Lda. (2); FiberT, S.A. (2); Signed Web Solutions, Lda. (1)</t>
  </si>
  <si>
    <t xml:space="preserve">2026-08-27</t>
  </si>
  <si>
    <t xml:space="preserve">Prestação de Serviços de Fiscalização e Coordenação de Segurança de Empreitadas. Empreitada: Ligação à variante à EN 103</t>
  </si>
  <si>
    <t xml:space="preserve">Município de Caminha</t>
  </si>
  <si>
    <t xml:space="preserve">500843139</t>
  </si>
  <si>
    <t xml:space="preserve">Wire Maze - Sistemas de Informação, S.A. (4); CPCECHO, LDA (3); Justbit Servicos Telecomunicacoes Gestao Industrial Lda (3)</t>
  </si>
  <si>
    <t xml:space="preserve">2026-08-25</t>
  </si>
  <si>
    <t xml:space="preserve">EMPREITADA DE REPARAÇÃO DA ILUMINAÇÃO PÚBLICA NA RUA DE SANTO ANTÓNIO E RUA DA IGREJA VELHA NA UF CAMINHA-VILARELHO”</t>
  </si>
  <si>
    <t xml:space="preserve">Unidade Local de Saúde do Médio Ave, EPE</t>
  </si>
  <si>
    <t xml:space="preserve">508093937</t>
  </si>
  <si>
    <t xml:space="preserve">GONKSYS, S.A. (3); Proside, SA (3); RISI EXPERT SOFWARE SOLUTIONS LDA (3)</t>
  </si>
  <si>
    <t xml:space="preserve">VP2600553 - ELABORAÇÃO DE PROJECTO DE SUBSTITUIÇÃO DO GRUPO GERADOR</t>
  </si>
  <si>
    <t xml:space="preserve">Instituto Politécnico de Viana do Castelo</t>
  </si>
  <si>
    <t xml:space="preserve">503761877</t>
  </si>
  <si>
    <t xml:space="preserve">H2PLUS ENERGY LDA (2); Barreiros, Costa &amp; Sampaio S.A. (2); Beltrão Coelho Minho (2)</t>
  </si>
  <si>
    <t xml:space="preserve">2026/Cpre/023 - Empreitada de substituição dos sistemas de iluminação da ESE</t>
  </si>
  <si>
    <t xml:space="preserve">Município de Celorico de Basto</t>
  </si>
  <si>
    <t xml:space="preserve">506884929</t>
  </si>
  <si>
    <t xml:space="preserve">SUCH | Serviço de Utilização Comum dos Hospitais (4); Ricardo Jorge da Cunha Alves, Unipessoal, Lda. (2); CBL - Computadores de Basto, Lda (2)</t>
  </si>
  <si>
    <t xml:space="preserve">Projeto de Execução AVAC e Certificação Energética - Edifício dos Paços do Concelho</t>
  </si>
  <si>
    <t xml:space="preserve">Unidade Local de Saúde do Alto Ave, E.P.E</t>
  </si>
  <si>
    <t xml:space="preserve">508080827</t>
  </si>
  <si>
    <t xml:space="preserve">SUCH | Serviço de Utilização Comum dos Hospitais (4); MAXDATA SOFTWARE, S.A. (3); IDRYL Consulting, Lda (3)</t>
  </si>
  <si>
    <t xml:space="preserve">2026-09-09</t>
  </si>
  <si>
    <t xml:space="preserve">AM/0877/2026 - Desenvolvimento do BI da ULS</t>
  </si>
  <si>
    <t xml:space="preserve">Município de Paredes de Coura</t>
  </si>
  <si>
    <t xml:space="preserve">506632938</t>
  </si>
  <si>
    <t xml:space="preserve">Energicoura (4); Electro Insdustrial de Barreiros e Sá, Lda (2); CLARANET II SOLUTIONS, S.A. (1)</t>
  </si>
  <si>
    <t xml:space="preserve">2026-08-13</t>
  </si>
  <si>
    <t xml:space="preserve">Prestação de serviços de renovação do software backup veeam</t>
  </si>
  <si>
    <t xml:space="preserve">Município da Póvoa de Lanhoso</t>
  </si>
  <si>
    <t xml:space="preserve">506632920</t>
  </si>
  <si>
    <t xml:space="preserve">HENRIQUE DO VALE MARTINS (2); NOS COMUNICAÇÕES, S.A. (2); Tabique - Engenharia, Lda (2)</t>
  </si>
  <si>
    <t xml:space="preserve">2026-09-17</t>
  </si>
  <si>
    <t xml:space="preserve">Aquisição de equipamento de rede, incluindo a substituição de equipamentos de distribuição e switches de acesso não norm</t>
  </si>
  <si>
    <t xml:space="preserve">Município de Amares</t>
  </si>
  <si>
    <t xml:space="preserve">506797627</t>
  </si>
  <si>
    <t xml:space="preserve">JOSE FERRAZ &amp; ASSOCIADOS - ENGENHARIA E CONSULTORIA, S.A. (2); NUWAVE ASSIT (2); Marques &amp; Dourado - Engenharia, Lda (2)</t>
  </si>
  <si>
    <t xml:space="preserve">2026-07-27</t>
  </si>
  <si>
    <t xml:space="preserve">Prestação de Serviços - Fiscalização externa de empreitadas.</t>
  </si>
  <si>
    <t xml:space="preserve">Município de Fafe</t>
  </si>
  <si>
    <t xml:space="preserve">506841561</t>
  </si>
  <si>
    <t xml:space="preserve">Reload - Consultoria Informática Unipessoal, Lda (3); BoldApps, LDA (2); Knowledge Inside, Lda (2)</t>
  </si>
  <si>
    <t xml:space="preserve">2026-09-22</t>
  </si>
  <si>
    <t xml:space="preserve">Renovação de licença anual de software VMware vSphere Foundation</t>
  </si>
  <si>
    <t xml:space="preserve">Instituto Politécnico do Cávado e do Ave</t>
  </si>
  <si>
    <t xml:space="preserve">503494933</t>
  </si>
  <si>
    <t xml:space="preserve">RIS 2048 - Sistemas Informáticos e Comunicações, S.A. (4); MeasureIT, Unipessoal Lda. (2); Pedro Peixoto Rego (2)</t>
  </si>
  <si>
    <t xml:space="preserve">2026-08-04</t>
  </si>
  <si>
    <t xml:space="preserve">Aquisição de equipamento tecnológico (servidores e redes) para suporte ao funcionamento da Residência B-CRIC do IPCA</t>
  </si>
  <si>
    <t xml:space="preserve">Município de Terras de Bouro</t>
  </si>
  <si>
    <t xml:space="preserve">506907619</t>
  </si>
  <si>
    <t xml:space="preserve">Interfire, Lda. (4); F3M Information Systems, S.A. (2); LAURA SILVA, UNIPESSOAL, LDA (2)</t>
  </si>
  <si>
    <t xml:space="preserve">CENTRAL DE INCÊNCIOS-ESCOLA DE TERRAS DE BOURO</t>
  </si>
  <si>
    <t xml:space="preserve">Município de Esposende</t>
  </si>
  <si>
    <t xml:space="preserve">506617599</t>
  </si>
  <si>
    <t xml:space="preserve">Wire Maze - Sistemas de Informação, S.A. (3); Wavecom-Soluções Rádio, SA (2); Signed Web Solutions, Lda. (2)</t>
  </si>
  <si>
    <t xml:space="preserve">Aquisição de Serviços Para Modificação da Rede Elétrica na Rua da Senra em Curvos </t>
  </si>
  <si>
    <t xml:space="preserve">Município de Vila Verde</t>
  </si>
  <si>
    <t xml:space="preserve">506641376</t>
  </si>
  <si>
    <t xml:space="preserve">Wavecom-Soluções Rádio, SA (2); Américo José da Cunha Sousa (1); PROTERRITORIO, LDA (1)</t>
  </si>
  <si>
    <t xml:space="preserve">2026-09-02</t>
  </si>
  <si>
    <t xml:space="preserve">Implementação do Vertical Gestão de Consumos Energéticos na Plataforma de Gestão Urbana (PGU)</t>
  </si>
  <si>
    <t xml:space="preserve">AGERE- Empresa de Águas Efluentes e Resíduos de Braga, EM</t>
  </si>
  <si>
    <t xml:space="preserve">504807692</t>
  </si>
  <si>
    <t xml:space="preserve">Orbcom, Lda. (4); Aquasis - Sistemas de Informação, S.a. (4); Primavera (3)</t>
  </si>
  <si>
    <t xml:space="preserve">Aquisição de 50 licenças de software para a solução de Secure Service Edge (SSE) da Netskope</t>
  </si>
  <si>
    <t xml:space="preserve">Município de Ponte da Barca</t>
  </si>
  <si>
    <t xml:space="preserve">505676770</t>
  </si>
  <si>
    <t xml:space="preserve">FBCPS - Business Consulting and Professional Services, Lda (2); CROSSING POINT, UNIPESSOAL LDA (1); TLCI ENERGIA, LDA., (1)</t>
  </si>
  <si>
    <t xml:space="preserve">2026-09-23</t>
  </si>
  <si>
    <t xml:space="preserve">Assistência e Manutenção aplicação "City as Platform"</t>
  </si>
  <si>
    <t xml:space="preserve">Município de Melgaço</t>
  </si>
  <si>
    <t xml:space="preserve">505592940</t>
  </si>
  <si>
    <t xml:space="preserve">Visualforma - Tecnologias de Informação, S.A. (4); AIRC - Associação de Informática da Região Centro (3); PH - Informática e Micro Sistemas, Lda. (2)</t>
  </si>
  <si>
    <t xml:space="preserve">2026-07-30</t>
  </si>
  <si>
    <t xml:space="preserve">Aquisição de serviços de Fiscalização e Topografia, na modalidade de avença </t>
  </si>
  <si>
    <t xml:space="preserve">Município de Arcos de Valdevez</t>
  </si>
  <si>
    <t xml:space="preserve">505211696</t>
  </si>
  <si>
    <t xml:space="preserve">RELOAD - CONSULTORIA INFORMÁTICA, LDA. (3); Enermeter - Sistemas de Medição, Lda. (2); WireMaze - Sistemas de Informação S.A. (2)</t>
  </si>
  <si>
    <t xml:space="preserve">2026-06-02</t>
  </si>
  <si>
    <t xml:space="preserve">PF 1183/2026 - Renovação da Manutenção dos Equipamentos HP DataCenter e DR</t>
  </si>
  <si>
    <t xml:space="preserve">Vimágua - Empresa de Água e Saneamento de Guimarães e Vizela, EIM, SA</t>
  </si>
  <si>
    <t xml:space="preserve">505993082</t>
  </si>
  <si>
    <t xml:space="preserve">BABCOCK &amp; WILCOX PORTUGAL, SA (2); SmartStep - Sistemas de Mobilidade Integrados, Lda (1); WAVE SOLUTIONS SISTEMAS DE INFORMAÇÃO LDA (1)</t>
  </si>
  <si>
    <t xml:space="preserve">2026-09-16</t>
  </si>
  <si>
    <t xml:space="preserve">Aquisição de licença WebAPI SmartAccess para integração do Chaveiro Digital com outras plataformas</t>
  </si>
  <si>
    <t xml:space="preserve">TUB - Transportes Urbanos de Braga, EM</t>
  </si>
  <si>
    <t xml:space="preserve">504807684</t>
  </si>
  <si>
    <t xml:space="preserve">NSOFT - SOLUÇÕES E INTEGRAÇÃO DE SISTEMAS, LDA (4); Tabique - Engenharia, Lda. (3); VINSO II, Lda. (1)</t>
  </si>
  <si>
    <t xml:space="preserve">Fiscalização da Empreitada de Construção da 2.ª fase do Parque Nascente do Parque de Material e Oficinas (PMO)</t>
  </si>
  <si>
    <t xml:space="preserve">Município de Vizela</t>
  </si>
  <si>
    <t xml:space="preserve">505985217</t>
  </si>
  <si>
    <t xml:space="preserve">MICROABREU- Sistemas Informáticos, Ldª (2); JPM &amp; Abreu, Lda. (2); Shortcut, Lda. (2)</t>
  </si>
  <si>
    <t xml:space="preserve">2026-09-28</t>
  </si>
  <si>
    <t xml:space="preserve">Aquisição de serviços de assistência técnica para plataforma digital.</t>
  </si>
  <si>
    <t xml:space="preserve">Município de Monção</t>
  </si>
  <si>
    <t xml:space="preserve">501937471</t>
  </si>
  <si>
    <t xml:space="preserve">E-Redes - Distribuição de Eletricidade, S.A. (2); Vitor Hugo - Coordenação e Gestão de Projectos, SA (2); KEEP SOLUTIONS, LDA (2)</t>
  </si>
  <si>
    <t xml:space="preserve">Serviços necessários à ligação à rede elétrica da instalação destinada à alimentação de postos de carregamento de veícul</t>
  </si>
  <si>
    <t xml:space="preserve">Município de Valença</t>
  </si>
  <si>
    <t xml:space="preserve">506728897</t>
  </si>
  <si>
    <t xml:space="preserve">TAILOR – Advanced Analytics, LDA (2); Manuel Pombo, L.da (1); Look Home - Central Receptora de Alarmes, L.da (1)</t>
  </si>
  <si>
    <t xml:space="preserve">2026-09-14</t>
  </si>
  <si>
    <t xml:space="preserve"> AQUISIÇÃO DE SERVIÇOS DE DISTRIBUIÇÃO E MANUTENÇÃO DE ILUMINAÇÃO E REDE ELÉTRICA</t>
  </si>
  <si>
    <t xml:space="preserve">Município de Cabeceiras de Basto</t>
  </si>
  <si>
    <t xml:space="preserve">505330334</t>
  </si>
  <si>
    <t xml:space="preserve">Ano Software - Sistemas de Informação, Lda. (2); BRIGHTCITY, S.A. (2); Wavecom - Soluções Rádio, S.A. (+1) (2)</t>
  </si>
  <si>
    <t xml:space="preserve">2026-07-01</t>
  </si>
  <si>
    <t xml:space="preserve">Atualização das aplicações software, Future Doc, Sistema de Gestão de Filas, Integração GSP RJUE DGAL; GSP Genérico e Po</t>
  </si>
  <si>
    <t xml:space="preserve">A Oficina Centro de Artes e Mesteres Tradicionais de Guimarães, CIPRL</t>
  </si>
  <si>
    <t xml:space="preserve">503190985</t>
  </si>
  <si>
    <t xml:space="preserve">Vida Digital - Sistemas de Informação, Lda (4); Quioske Me Unipessoal Lda (2); OOF Lda (1)</t>
  </si>
  <si>
    <t xml:space="preserve">2026-09-10</t>
  </si>
  <si>
    <t xml:space="preserve">Aquisição de serviços de criação de plataforma online de comercialização de bordados certificados e respetiva implementa</t>
  </si>
  <si>
    <t xml:space="preserve">Escola Profissional de Fermil, Celorico de Basto.</t>
  </si>
  <si>
    <t xml:space="preserve">600034984</t>
  </si>
  <si>
    <t xml:space="preserve">Duetorignal Unipessoal, Lda (3); Fontesolar - Soluções Energéticas, Unipessoal, Lda. (1); CBL - Computadores de Basto, Lda (1)</t>
  </si>
  <si>
    <t xml:space="preserve">Aquisição de equipamento de câmaras de videovigilância para a Escola Profissional Agrícola Eng.º Silva Nunes, incluindo,</t>
  </si>
  <si>
    <t xml:space="preserve">Águas do Norte, S. A.</t>
  </si>
  <si>
    <t xml:space="preserve">513606084</t>
  </si>
  <si>
    <t xml:space="preserve">Reload - Consultoria Informática Unipessoal, Lda (5); 4Energy - Comércio e Instalações Técnicas, Lda. (4); EASYPOINT - ENGINEERING AND INNOVATION, LDA (4)</t>
  </si>
  <si>
    <t xml:space="preserve">2026-08-12</t>
  </si>
  <si>
    <t xml:space="preserve">PRC_0374/2024_TII - Aquisição de serviços de desenvolvimento aplicacional e programação para a Águas do Norte, S.A.</t>
  </si>
  <si>
    <t xml:space="preserve">Centro Tecnológico das Indústrias Têxtil e do Vestuário de Portugal - CITEVE</t>
  </si>
  <si>
    <t xml:space="preserve">502201886</t>
  </si>
  <si>
    <t xml:space="preserve">Senginor - Engenharia e Instalações Eléctricas, Lda. (2); WGSN - Inteligence Espana S.L (1); Miranda &amp; Santana Lda (1)</t>
  </si>
  <si>
    <t xml:space="preserve">Aquisição de Subscription Services WGSN and Fashion Design, no âmbito do projeto do PRR - CTI</t>
  </si>
  <si>
    <t xml:space="preserve">Serviços de Ação Social da Universidade do Minho</t>
  </si>
  <si>
    <t xml:space="preserve">680047360</t>
  </si>
  <si>
    <t xml:space="preserve">Primavera Business Software Solutions, S.A. (2); Carlos Manuel Torres Rebelo (1); José Ramiro Simões Alves (1)</t>
  </si>
  <si>
    <t xml:space="preserve">CP 023/2026- Aquisição de serviços de técnico responsável pelas instalações elétricas afetas aos Serviços de Acção Socia</t>
  </si>
  <si>
    <t xml:space="preserve">Escola Profissional Amar Terra Verde, Lda</t>
  </si>
  <si>
    <t xml:space="preserve">504595067</t>
  </si>
  <si>
    <t xml:space="preserve">EUROTUX INFORMÁTICA S.A. (3); PH- Informática e Micro Sistemas, S.A. (2); José Carlos Oliveira Marques, Consultor de Engenharia - Fiscalização, Coordenação e Planeamento de Projectos, Unipessoal Limitada (2)</t>
  </si>
  <si>
    <t xml:space="preserve">Aquisição de Serviços de licenciamento de software para a EPATV, por lotes</t>
  </si>
  <si>
    <t xml:space="preserve">Unidade Local de Saúde de Barcelos/Esposende, EPE</t>
  </si>
  <si>
    <t xml:space="preserve">506361381</t>
  </si>
  <si>
    <t xml:space="preserve">SIXFORCE ENTERPRISE COMMUNICATIONS, LDA (2); CRAYON SOFTWARE LICENSING, UNIPESSOAL LDA (2); MEO - Serviços de Comunicações e Multimédia, S.A. (1)</t>
  </si>
  <si>
    <t xml:space="preserve">Escola Secundária de Caldas das Taipas, Guimarães</t>
  </si>
  <si>
    <t xml:space="preserve">680038647</t>
  </si>
  <si>
    <t xml:space="preserve">Narciso Gomes Componentes Eletronicos, Lda (2); Asnet (2); Vimaponto, Equipamentos e Serviços de Informática, SA (1)</t>
  </si>
  <si>
    <t xml:space="preserve">2026-07-08</t>
  </si>
  <si>
    <t xml:space="preserve">Aquisição de licença de software Adobe, enquadrada no CPV 48000000-8 (pacotes de software e sistemas de informação), des</t>
  </si>
  <si>
    <t xml:space="preserve">BRAVAL - Valorização e Tratamento de Resíduos Sólidos, SA</t>
  </si>
  <si>
    <t xml:space="preserve">503730947</t>
  </si>
  <si>
    <t xml:space="preserve">CAPWATT SERVICES, S.A. (3); Visualforma - Tecnologias de Informação, S.A. (2); Valter Campelo de Sousa, Unipessoal Lda. (1)</t>
  </si>
  <si>
    <t xml:space="preserve">2026-09-29</t>
  </si>
  <si>
    <t xml:space="preserve">Prestação de Serviços Contínuos de Fiscalização de Obras</t>
  </si>
  <si>
    <t xml:space="preserve">BRAGAHABIT - Empresa Municipal de Habitação de Braga, EM</t>
  </si>
  <si>
    <t xml:space="preserve">504537784</t>
  </si>
  <si>
    <t xml:space="preserve">José Carlos Oliveira Marques, Consultor de Engenharia - Fiscalização, Coordenação e Planeamento de Projectos, Unipessoal Limitada (1); YUK Data Consulting, Lda. (1); Professor Engenheiro Vasco Peixoto de Freitas, Lda. (1)</t>
  </si>
  <si>
    <t xml:space="preserve">Prestação de serviços de fiscalização da empreitada relativa ao BNAUT, compreendendo o acompanhamento e controlo técnico</t>
  </si>
  <si>
    <t xml:space="preserve">Faz Cultura - Empresa Municipal de Cultura de Braga, EM</t>
  </si>
  <si>
    <t xml:space="preserve">500463964</t>
  </si>
  <si>
    <t xml:space="preserve">Duas Quintas, Lda. (1); Arquitectos Aliados Consulting, Lda. (1); Certilusa - Certificação Energética e Engenharia, Lda (1)</t>
  </si>
  <si>
    <t xml:space="preserve">Aquisição de serviços de fiscalização em obra da empreitada de reabilitação da cobertura do edifício Theatro Circo</t>
  </si>
  <si>
    <t xml:space="preserve">CASFIG - Coordenação de Âmbito Social e Financeiro das Habitações do Município de Guimarães, E.M., Unipessoal, Lda.</t>
  </si>
  <si>
    <t xml:space="preserve">504885855</t>
  </si>
  <si>
    <t xml:space="preserve">Parteico Software S.A. (2); Vimaponto, Equipamentos e Serviços de Informática, SA (1); CS MA ARQUITETOS, LDA (1)</t>
  </si>
  <si>
    <t xml:space="preserve">Contratação de serviços de suporte técnico e assistência informática, mediante bolsa de 50 horas, e de licenças de softw</t>
  </si>
  <si>
    <t xml:space="preserve">Município de Vila Nova de Cerveira</t>
  </si>
  <si>
    <t xml:space="preserve">506896625</t>
  </si>
  <si>
    <t xml:space="preserve">José Fernando Miranda da Costa, Lda (1); Narciso de Carvalho &amp; Filhos, Lda (1); Eri, Engenharia S.A. (1)</t>
  </si>
  <si>
    <t xml:space="preserve">2026-03-25</t>
  </si>
  <si>
    <t xml:space="preserve">Parque Empresarial de Cerveira – Pólo V (Sapardos) - Melhoria das Linhas de Terra</t>
  </si>
  <si>
    <t xml:space="preserve">Município de Vieira do Minho</t>
  </si>
  <si>
    <t xml:space="preserve">506659682</t>
  </si>
  <si>
    <t xml:space="preserve">Divultec-Serviços de Informática, Lda. (3); Medidata.net - Sistemas de Informação para Autarquias, S.A. (2); NORAQUA, Consultores de Engenharia, Lda (1)</t>
  </si>
  <si>
    <t xml:space="preserve">2026-06-12</t>
  </si>
  <si>
    <t xml:space="preserve">ELABORAÇÃO DOS PROJETOS DE ESPECIALIDADES PARA A CRECHE MUNICIPAL DE TABUAÇAS</t>
  </si>
  <si>
    <t xml:space="preserve">INSTITUTO DE GESTÃO FINANCEIRA E EQUIPAMENTOS DA J</t>
  </si>
  <si>
    <t xml:space="preserve">510361242</t>
  </si>
  <si>
    <t xml:space="preserve">José Carlos Oliveira Marques, Consultor de Engenharia - Fiscalização, Coordenação e Planeamento de Projectos, Unipessoal Limitada (3); Tabique - Engenharia, Lda. (1); Vitor Hugo - Coordenação e Gestão de Projectos, SA (+1) (1)</t>
  </si>
  <si>
    <t xml:space="preserve">25AS00007534 - Viana do Castelo - TT e TFM - Aquisição de serviços de fiscalização para a empreitada de reparação e subs</t>
  </si>
  <si>
    <t xml:space="preserve">Património Cultural, IP</t>
  </si>
  <si>
    <t xml:space="preserve">517842920</t>
  </si>
  <si>
    <t xml:space="preserve">Pórtico-Arquitetura e Engenharia, Ldª (1); Vitor Hugo - Coordenação e Gestão de Projectos, SA (1); Paulo Providência Arquitetos, Lda (1)</t>
  </si>
  <si>
    <t xml:space="preserve">2026-06-29</t>
  </si>
  <si>
    <t xml:space="preserve">PRR-Fiscalização e Coordenação de Segurança e Gestão Ambiental em obra da empreitada de Reestruturação das infraestrutur</t>
  </si>
  <si>
    <t xml:space="preserve">Ensiprof - Ensino e Formação Profissional, Lda</t>
  </si>
  <si>
    <t xml:space="preserve">504769642</t>
  </si>
  <si>
    <t xml:space="preserve">MEO - SERVIÇOS DE COMUNICAÇÕES E MULTIMÉDIA, S.A (1); Hermann Biener – Material Eléctrico, Lda (1); ROLEAR – AUTOMATIZAÇÕES, ESTUDOS E REPRESENTAÇÕES, S.A (1)</t>
  </si>
  <si>
    <t xml:space="preserve">2026-04-15</t>
  </si>
  <si>
    <t xml:space="preserve">Concurso Público nº 4/2026 - Aquisição e Instalação de Material CCTV </t>
  </si>
  <si>
    <t xml:space="preserve">CIM do Ave - Comunidade Intermunicipal do Ave</t>
  </si>
  <si>
    <t xml:space="preserve">508887780</t>
  </si>
  <si>
    <t xml:space="preserve">Associação CCG/ZGDV - Centro de Computação Gráfica (1); XERCODE SOLUÇÕES EM TECNOLOGIA, UNIPESSOAL Lda. (1); AD EVOLUTIO, LDA (1)</t>
  </si>
  <si>
    <t xml:space="preserve">2026-08-07</t>
  </si>
  <si>
    <t xml:space="preserve">Aquisição de serviços de housing e serviços de gestão e operação de DataCenter</t>
  </si>
  <si>
    <t xml:space="preserve">Coopetape - Cooperativa de Ensino, CRL</t>
  </si>
  <si>
    <t xml:space="preserve">504443127</t>
  </si>
  <si>
    <t xml:space="preserve">ASNET Unipessoal, Lda (4); Daniel Cruz (1); Jofax - Equipamentos de escritório e Reprografia Lda. (1)</t>
  </si>
  <si>
    <t xml:space="preserve">2026-05-21</t>
  </si>
  <si>
    <t xml:space="preserve">aquisição da Cedência Temporária de Licenças de software </t>
  </si>
  <si>
    <t xml:space="preserve">Museus e Monumentos de Portugal EPE</t>
  </si>
  <si>
    <t xml:space="preserve">517804417</t>
  </si>
  <si>
    <t xml:space="preserve">SET2STAGE,LDA (1); Peixoto &amp; Costa, Lda (1); AOF-Augusto de Oliveira Ferreira, Lda., (1)</t>
  </si>
  <si>
    <t xml:space="preserve">2026-06-26</t>
  </si>
  <si>
    <t xml:space="preserve">Aquisição de projetores de iluminação, no âmbito da atividade "Museu à Noite" - MAS</t>
  </si>
  <si>
    <t xml:space="preserve">Centro de Formação Profissional da Industria Metalúrgica e Metalomecânica (CENFIM)</t>
  </si>
  <si>
    <t xml:space="preserve">502077352</t>
  </si>
  <si>
    <t xml:space="preserve">Securitas - Serviço e Tecnologias de Segurança, SA (2); EDNI-EMPRESA DISTRIBUIDORA DE MATERIAL INFORMATICO, LDA. (1); Paulo Dias - Soluções para Informática, Unipessoal, Lda, (1)</t>
  </si>
  <si>
    <t xml:space="preserve">2026-04-16</t>
  </si>
  <si>
    <t xml:space="preserve">Aquisição, por LOTES, de Equipamentos Informáticos</t>
  </si>
  <si>
    <t xml:space="preserve">Centro Paroquial de Social de Santa Maria de Grade</t>
  </si>
  <si>
    <t xml:space="preserve">506034976</t>
  </si>
  <si>
    <t xml:space="preserve">Segurvez, Lda. (1); NERGY - UNIPESSOAL, LDA (1); MANUEL CARLOS &amp; SOUSA, LDA(515590916) (1)</t>
  </si>
  <si>
    <t xml:space="preserve">PROCEDIMENTO DE AQUISIÇAÕ  DE SISTEMA INTEGRADO DE SEGURANÇA, INCLUINDO FORNECIMENTO, INSTALAÇÃO E COLOCAÇÃO EM FUNCIONA</t>
  </si>
  <si>
    <t xml:space="preserve">GUIMABUS - EMPRESA TRANSPORTES DE GUIMARÃES, UNIPESSOAL, Lda</t>
  </si>
  <si>
    <t xml:space="preserve">516198637</t>
  </si>
  <si>
    <t xml:space="preserve">Electrograça - Instalações, L.da. (1); Esboços e Riscos, Atelier de Atquitetura, Engenharia, Construção, Consultadoria - Unipessoal Ldª (1)</t>
  </si>
  <si>
    <t xml:space="preserve">2025-12-23</t>
  </si>
  <si>
    <t xml:space="preserve">Implementação de Infraestruturas de Baixa Tensão para alimentação dos Postos de Carregamento de Veículos Elétricos</t>
  </si>
  <si>
    <t xml:space="preserve">Fundação para a Ciência e a Tecnologia, IP</t>
  </si>
  <si>
    <t xml:space="preserve">503904040</t>
  </si>
  <si>
    <t xml:space="preserve">TUU Building Design Management, Lda (2); Prosegur - Companhia De Segurança, Lda. (1); Efacec Electric Mobility, S.A. (1)</t>
  </si>
  <si>
    <t xml:space="preserve">Aquisição de Serviços de Elaboração dos Projetos</t>
  </si>
  <si>
    <t xml:space="preserve">Comunidade Intermunicipal do Alto Minho</t>
  </si>
  <si>
    <t xml:space="preserve">508754496</t>
  </si>
  <si>
    <t xml:space="preserve">ADEPORTO - AGÊNCIA DE ENERGIA DO PORTO (1); Cascatas &amp; Cataratas, Lda. (1); Wire Maze - Sistemas de Informação, SA (1)</t>
  </si>
  <si>
    <t xml:space="preserve">2026-05-11</t>
  </si>
  <si>
    <t xml:space="preserve">O objeto da presente prestação de serviços consiste na prestação de serviços para a elaboração de um plano de viabilidad</t>
  </si>
  <si>
    <t xml:space="preserve">Centro de Formação Profisssional da Indústria Têxtil, Vestuário Confecção e Lanifícios - MODATEX</t>
  </si>
  <si>
    <t xml:space="preserve">509906478</t>
  </si>
  <si>
    <t xml:space="preserve">Lectra Portugal, Lda. (2); RIS2048 - Sistemas Informáticos e Comunicações, S.A. (1); Maxiglobal - Equipamentos e Serviços de Informática, SA (1)</t>
  </si>
  <si>
    <t xml:space="preserve">2026-03-20</t>
  </si>
  <si>
    <t xml:space="preserve">Serviços de disponibilização de software e assistência técnica para CAD Modelação nos sistemas Lectra e Gerber</t>
  </si>
  <si>
    <t xml:space="preserve">Vitrus Ambiente, EM, SA</t>
  </si>
  <si>
    <t xml:space="preserve">509584888</t>
  </si>
  <si>
    <t xml:space="preserve">Infraspeak S.A. (1); EDIVAC - Energy Consulting, Unipessoal Lda (1); Eleven Systems (1)</t>
  </si>
  <si>
    <t xml:space="preserve">2026-08-17</t>
  </si>
  <si>
    <t xml:space="preserve">Aquisição de plataforma de gestão de manutenção</t>
  </si>
  <si>
    <t xml:space="preserve">Direção-Geral do Livro, dos Arquivos e das Bibliotecas</t>
  </si>
  <si>
    <t xml:space="preserve">600084892</t>
  </si>
  <si>
    <t xml:space="preserve">Smartwatt (1); A Energia Azul-Engenharia e Gestão Imobiliária,Lda. (1); Contimetra - Instalações Mecânicas, Lda (1)</t>
  </si>
  <si>
    <t xml:space="preserve">2026-02-02</t>
  </si>
  <si>
    <t xml:space="preserve">Elaboração e submissão dos questionários de avaliação do desempenho do uso de materiais ECOAP 2019-2023 e 2024, auditori</t>
  </si>
  <si>
    <t xml:space="preserve">Instituto do Emprego e da Formação Profissional, IP</t>
  </si>
  <si>
    <t xml:space="preserve">501442600</t>
  </si>
  <si>
    <t xml:space="preserve">CARLOS JORGE GONÇALVES FERRAZ (2); GUILHERME MANUEL MACHADO HORTA (2); João Pedro Lameira - Engenharia Unipessoal, Lda (1)</t>
  </si>
  <si>
    <t xml:space="preserve">2021.005.02.E1  SFP Braga - Bloco C - Cuidados Pessoais - Elaboração de Relatório Auditoria/Certificação Energética - P</t>
  </si>
  <si>
    <t xml:space="preserve">Agrupamento de Escolas Gonçalo Nunes, Barcelos</t>
  </si>
  <si>
    <t xml:space="preserve">600070298</t>
  </si>
  <si>
    <t xml:space="preserve">Mega Barcelos - Informatica e Tecnologia Unip., Lda. (2); ASNET Unipessoal, Lda (1); Inforários Software, Lda (1)</t>
  </si>
  <si>
    <t xml:space="preserve">AQUISIÇÃO DE MATERIAL INFORMÁTICO</t>
  </si>
  <si>
    <t xml:space="preserve">PIEP Associação Pólo de Inovação em Engenharia de Polímeros</t>
  </si>
  <si>
    <t xml:space="preserve">504943782</t>
  </si>
  <si>
    <t xml:space="preserve">Esss - Engineering Simulation And Scientific Software Portugal Lda (2); Ricoh Portrugal IT Services Lda. (2); RELOAD – Consultoria Informática. (1)</t>
  </si>
  <si>
    <t xml:space="preserve">2026-07-20</t>
  </si>
  <si>
    <t xml:space="preserve">Aquisição, instalação e configuração do Software Harmony Endpoint Advanced</t>
  </si>
  <si>
    <t xml:space="preserve">Centro Social da Paróquia de Curvos</t>
  </si>
  <si>
    <t xml:space="preserve">502622393</t>
  </si>
  <si>
    <t xml:space="preserve">ENAGOR LDA (1); Bcotech Business Communications Technologies, unipessoal Lda (1)</t>
  </si>
  <si>
    <t xml:space="preserve">2026-05-09</t>
  </si>
  <si>
    <t xml:space="preserve">aquisição de sistema solar fotovoltaico</t>
  </si>
  <si>
    <t xml:space="preserve">Tribunal Judicial da Comarca de Viana do Castelo</t>
  </si>
  <si>
    <t xml:space="preserve">600086526</t>
  </si>
  <si>
    <t xml:space="preserve">PEDRO MANUEL COSTA MARTINS UNIP.LDA (1); A.P. Alarmes Portugal, Lda. (1)</t>
  </si>
  <si>
    <t xml:space="preserve">Procedimento n.º 2/2026-Consulta Prévia - Substituição de iluminação convencional por iluminação LED nos Palácios da Jus</t>
  </si>
  <si>
    <t xml:space="preserve">Escola Secundária Henrique Medina, Esposende</t>
  </si>
  <si>
    <t xml:space="preserve">600006700</t>
  </si>
  <si>
    <t xml:space="preserve">Linear Consulting Lda. (2); INOVAR +AZ (1); Beltrão Coelho Minho (1)</t>
  </si>
  <si>
    <t xml:space="preserve">Prestação de serviços para implementação de sistema de controlo de acessos à escola</t>
  </si>
  <si>
    <t xml:space="preserve">Centro Paroquial de Moreira de Cónegos</t>
  </si>
  <si>
    <t xml:space="preserve">501983988</t>
  </si>
  <si>
    <t xml:space="preserve">LF2 - Sistemas Informáticos, Lda (1); Garmep, Lda. (1); Ertec Lda (1)</t>
  </si>
  <si>
    <t xml:space="preserve">Aquisição de equipamentos informáticos e tecnológicos</t>
  </si>
  <si>
    <t xml:space="preserve">Santa Casa da Misericórdia de Paredes de Coura</t>
  </si>
  <si>
    <t xml:space="preserve">500868514</t>
  </si>
  <si>
    <t xml:space="preserve">Rui Fernando Martins (1); Energicoura (1)</t>
  </si>
  <si>
    <t xml:space="preserve">2026-07-15</t>
  </si>
  <si>
    <t xml:space="preserve">FORNECIMENTO DE EQUIPAMENTO INFORMÁTICO</t>
  </si>
  <si>
    <t xml:space="preserve">Santa Casa da Misericórdia da Póvoa de Lanhoso</t>
  </si>
  <si>
    <t xml:space="preserve">501409084</t>
  </si>
  <si>
    <t xml:space="preserve">MTI - Consulting, Lda (2); HUILD - BUILDING SOLUTIONS, LDA (2)</t>
  </si>
  <si>
    <t xml:space="preserve">2026-06-25</t>
  </si>
  <si>
    <t xml:space="preserve">Aquisição de Equipamento Informático para a UCCI do Hospital António Lopes, da Santa Casa da Misericórdia de Póvoa de La</t>
  </si>
  <si>
    <t xml:space="preserve">Instituto da Conservação da Natureza e das Florestas, I.P.</t>
  </si>
  <si>
    <t xml:space="preserve">510342647</t>
  </si>
  <si>
    <t xml:space="preserve">Featurepoint - Engenharia e Topografia, Lda (2); FLOPONOR S A (1); Bluint - Engenharia e Tecnologias Integradas, Unipessoal, Lda. (1)</t>
  </si>
  <si>
    <t xml:space="preserve">2026-06-11</t>
  </si>
  <si>
    <t xml:space="preserve">Aquisição de serviços de fiscalização de obra pública do Edifício de Serviços Públicos de Braga </t>
  </si>
  <si>
    <t xml:space="preserve">Agrupamento de Escolas de Fermentões, Guimarães</t>
  </si>
  <si>
    <t xml:space="preserve">600070476</t>
  </si>
  <si>
    <t xml:space="preserve">Asnet Unipessoal, Lda (6)</t>
  </si>
  <si>
    <t xml:space="preserve">2026-07-28</t>
  </si>
  <si>
    <t xml:space="preserve">Aquisição de Computadores e Equipamento Informático</t>
  </si>
  <si>
    <t xml:space="preserve">Serviços de Acção Social do Instituto Politécnico de Viana do Castelo</t>
  </si>
  <si>
    <t xml:space="preserve">600041212</t>
  </si>
  <si>
    <t xml:space="preserve">XpertGo - Business Solutions Development, Lda (2); ARROBABIT TECHNOLOGY LDA (1); dstelecom, S.A. (1)</t>
  </si>
  <si>
    <t xml:space="preserve">2026-03-06</t>
  </si>
  <si>
    <t xml:space="preserve">Aquisição de serviços de desenvolvimento para Integração de Ferramentas eID</t>
  </si>
  <si>
    <t xml:space="preserve">Agrupamento de Escolas de Vila Verde</t>
  </si>
  <si>
    <t xml:space="preserve">600076881</t>
  </si>
  <si>
    <t xml:space="preserve">ASNET UNIPESSOAL, LDA. (1); Ataraxia - Estudos e Sist.Tec. de Informação, Lda. (1); Verdedata - Sistemas de Informática, Lda. (1)</t>
  </si>
  <si>
    <t xml:space="preserve">2025-10-28</t>
  </si>
  <si>
    <t xml:space="preserve">AQUISIÇÃO DE EQUIPAMENTOS INFORMÁTICOS, LEITOR AUTÓNOMO e SOFTWARES</t>
  </si>
  <si>
    <t xml:space="preserve">Laboratório da Paisagem de Guimarães - Associação para a Promoção do Desenvolvimento Sustentável</t>
  </si>
  <si>
    <t xml:space="preserve">513753362</t>
  </si>
  <si>
    <t xml:space="preserve">RT - Telecomunicações LDA (1); UVE - Associação de Utilizadores de Veículos Elétricos (1); João Luís Ribeiro da Silva Mendes (1)</t>
  </si>
  <si>
    <t xml:space="preserve">2026-05-25</t>
  </si>
  <si>
    <t xml:space="preserve">Instalação e Certificação de  Infraestruturas de Rede Estruturada e Energia</t>
  </si>
  <si>
    <t xml:space="preserve">Esposende 2000 - Actividades Desportivas e Recreativas, E. M. - Sociedade Unipessoal, L.da</t>
  </si>
  <si>
    <t xml:space="preserve">503879614</t>
  </si>
  <si>
    <t xml:space="preserve">Tecnofão - Instalações Eléctricas E Electrodomésticos, Lda (1); ESPO24-SISTEMAS DE SEGURANÇA LDA (1); Sincelo, Sistemas de Informação, Lda. (1)</t>
  </si>
  <si>
    <t xml:space="preserve">2025-06-17</t>
  </si>
  <si>
    <t xml:space="preserve">Fornecimento e instalação de quadros elétricos para as Piscinas Exteriores do Complexo Piscinas Foz do Cávado</t>
  </si>
  <si>
    <t xml:space="preserve">Escola Profissional de Agricultura e Desenvolvimento Rural de Ponte de Lima</t>
  </si>
  <si>
    <t xml:space="preserve">600067971</t>
  </si>
  <si>
    <t xml:space="preserve">BOVIDIFUSÃO-COMÉRCIO DE PRODUTOS AGROPECUÁRIOS,LDA (1); Cristiano &amp; Manuel Fernandes, Lda. (1); Afonso &amp; Gigante, Lda (1)</t>
  </si>
  <si>
    <t xml:space="preserve">2026-09-04</t>
  </si>
  <si>
    <t xml:space="preserve">Fornecimento de Fivelas, Tags e software de apoio para controlo das vacas</t>
  </si>
  <si>
    <t xml:space="preserve">Santa Casa da Misericórdia de Vila Verde</t>
  </si>
  <si>
    <t xml:space="preserve">500848750</t>
  </si>
  <si>
    <t xml:space="preserve">CFS Solutions Electricidade, Unipessoal, Lda (1); VERDEDATA, Sistemas de Informática, Lda. (1); MEO - Serviços de Comunicações e Multimédia, S.A. (1)</t>
  </si>
  <si>
    <t xml:space="preserve">2026-06-22</t>
  </si>
  <si>
    <t xml:space="preserve">Melhoria dos sistemas de comunicação das Unidades de Cuidados Continuados</t>
  </si>
  <si>
    <t xml:space="preserve">Didáxis - Cooperativa de Ensino, CRL</t>
  </si>
  <si>
    <t xml:space="preserve">500341583</t>
  </si>
  <si>
    <t xml:space="preserve">Securitas Direct Portugal Unipessoal, Lda. (1); Areal Editores, SA (1); Artur Isac Ribeiro Guimarães Marques (1)</t>
  </si>
  <si>
    <t xml:space="preserve">Prestação De Serviços De Manutenção E Assistência Técnica Ao Sistema De Alarmes De Intrusão</t>
  </si>
  <si>
    <t xml:space="preserve">CTI Aeroespacial (Associação)</t>
  </si>
  <si>
    <t xml:space="preserve">516844156</t>
  </si>
  <si>
    <t xml:space="preserve">AVIOMOD AEROSPACE TECHNOLOGIES LDA (1); AUTOMACAO EM ENGENHARIA LTDA (1)</t>
  </si>
  <si>
    <t xml:space="preserve">2025-11-05</t>
  </si>
  <si>
    <t xml:space="preserve">Aquisição de serviços de consultoria em certificação aeronáutica para a aeronave regional ARL</t>
  </si>
  <si>
    <t xml:space="preserve">Autoridade Tributária e Aduaneira</t>
  </si>
  <si>
    <t xml:space="preserve">600084779</t>
  </si>
  <si>
    <t xml:space="preserve">Ondata International, Unipessoal, Lda. (1); Advanced Resources, Lda (1); REDSHIFT CONSULTING (1)</t>
  </si>
  <si>
    <t xml:space="preserve">Aquisição de 4 (quatro) licenças “Forensic Explorer – FEX and Mount Image PRO” na modalidade de manutenção assegurada du</t>
  </si>
  <si>
    <t xml:space="preserve">Agrupamento de Escolas de Monserrate, Viana do Castelo</t>
  </si>
  <si>
    <t xml:space="preserve">600073041</t>
  </si>
  <si>
    <t xml:space="preserve">Infor Peixoto (1); UNTILE, LDA (1); INOVAR +AZ (1)</t>
  </si>
  <si>
    <t xml:space="preserve">2026-04-28</t>
  </si>
  <si>
    <t xml:space="preserve">Aquisição de Serviços de Apoio Técnico Informático</t>
  </si>
  <si>
    <t xml:space="preserve">Centro de Solidariedade Social de Valdozende</t>
  </si>
  <si>
    <t xml:space="preserve">501324550</t>
  </si>
  <si>
    <t xml:space="preserve">Silsafe Lda (2); Tree Energy (1)</t>
  </si>
  <si>
    <t xml:space="preserve">2026-02-16</t>
  </si>
  <si>
    <t xml:space="preserve">Incremento da potência instalada mas com redução da fatura de energia elétrica na Arca de Noé.</t>
  </si>
  <si>
    <t xml:space="preserve">Agência Nacional para a Gestão do Programa Erasmus + Juventude/Desporto e Corpo Europeu de Solidariedade</t>
  </si>
  <si>
    <t xml:space="preserve">600086321</t>
  </si>
  <si>
    <t xml:space="preserve">DIVULTEC - SERVIÇOS DE INFORMÁTICA, LDA (1); PICTORIAL STORY, UNIPESSOAL Ldª (1); • Filedoc - Software, Lda (1)</t>
  </si>
  <si>
    <t xml:space="preserve">2026-02-11</t>
  </si>
  <si>
    <t xml:space="preserve">Aquisição de Licenças de Servidor Microsoft Azure</t>
  </si>
  <si>
    <t xml:space="preserve">Associação Universidade - Empresa para o Desenvolvimento - TecMinho</t>
  </si>
  <si>
    <t xml:space="preserve">502585757</t>
  </si>
  <si>
    <t xml:space="preserve">DIGIZOOM-INFORMÁTICA E SERVIÇOS UNIPESSOAL, LDA. (1); KOZOWOOD INDUSTRIES, S.A. (1); WATERIOT - CONSULTORIA E INVESTIGAÇÃO EM ENGENHARIA, LDA (1)</t>
  </si>
  <si>
    <t xml:space="preserve">2025-11-28</t>
  </si>
  <si>
    <t xml:space="preserve">O presente procedimento tem por objeto a aquisição de equipamento e componentes informáticos no âmbito do projeto “TecMi</t>
  </si>
  <si>
    <t xml:space="preserve">AF - Águas de Fafe, E. M.</t>
  </si>
  <si>
    <t xml:space="preserve">516383280</t>
  </si>
  <si>
    <t xml:space="preserve">Vimaponto, Equipamentos e Serviços de Informática, Lda (1); ALLVISION CONSULTING AND TRAINING, LDA. (1); ENERMETER-SISTEMAS DE MEDIÇÃO, UNIPESSOAL LDA (1)</t>
  </si>
  <si>
    <t xml:space="preserve">2025-11-18</t>
  </si>
  <si>
    <t xml:space="preserve">Aquisição de equipamentos para proteção de dados e acessos, solução Sophos,unidade para backup imutável e backup Azure e</t>
  </si>
  <si>
    <t xml:space="preserve">Agrupamento de Escolas Sá de Miranda, Braga</t>
  </si>
  <si>
    <t xml:space="preserve">600078248</t>
  </si>
  <si>
    <t xml:space="preserve">MEGABARCELOS - Informática e Tecnologia Unip. Lda. (1); ASNET (1); Augustos da Cunha Gomes, Lda (1)</t>
  </si>
  <si>
    <t xml:space="preserve">Aquisição De Material Informático </t>
  </si>
  <si>
    <t xml:space="preserve">Agrupamento de Escolas de Amares</t>
  </si>
  <si>
    <t xml:space="preserve">600085481</t>
  </si>
  <si>
    <t xml:space="preserve">ASNET Unipessoal, Lda (3); Inforários Software, Lda. (1)</t>
  </si>
  <si>
    <t xml:space="preserve">2026-09-11</t>
  </si>
  <si>
    <t xml:space="preserve">A. D. A. M. - Águas do Alto Minho, SA</t>
  </si>
  <si>
    <t xml:space="preserve">515486159</t>
  </si>
  <si>
    <t xml:space="preserve">HIDMA-Hidráulica e Automação, SA. (5); CUNHA BASTOS, LDA (2); PRÁXIS - SOCIEDADE DE SERVIÇOS TÉCNICOS, UNIPESSOAL LDA (1)</t>
  </si>
  <si>
    <t xml:space="preserve">2026-07-14</t>
  </si>
  <si>
    <t xml:space="preserve">Aquisição de Quadripé</t>
  </si>
  <si>
    <t xml:space="preserve">Agrupamento de Escolas de Ponte de Lima</t>
  </si>
  <si>
    <t xml:space="preserve">600075168</t>
  </si>
  <si>
    <t xml:space="preserve">INOVAR +AZ - SISTEMAS DE INFORMAÇÃO, LDA. (1)</t>
  </si>
  <si>
    <t xml:space="preserve">2026-02-19</t>
  </si>
  <si>
    <t xml:space="preserve">Aquisição de serviços de Licenciamento de Software e Serviços Conexos de um sistema integrado de gestão de escolas - Sof</t>
  </si>
  <si>
    <t xml:space="preserve">Agrupamento de Escolas de Prado, Vila Verde</t>
  </si>
  <si>
    <t xml:space="preserve">600079619</t>
  </si>
  <si>
    <t xml:space="preserve">ELECTRO FERNANDES, LDA (1); Asnet (1)</t>
  </si>
  <si>
    <t xml:space="preserve">2026-07-10</t>
  </si>
  <si>
    <t xml:space="preserve">AQUISIÇÃO DE MATERIAL ELETRICO E SERVIÇOS DE INSTALAÇÃO</t>
  </si>
  <si>
    <t xml:space="preserve">CENTITVC - Centro de Nanotecnologia e Materiais Técnicos, Funcionais e Inteligentes</t>
  </si>
  <si>
    <t xml:space="preserve">507682734</t>
  </si>
  <si>
    <t xml:space="preserve">SQÉDIO LDA (2); Equilabrium SAS (1); TEQUIMAQ - MÁQUINAS PARA INDÚSTRIA QUÍMICA E CORTI (1)</t>
  </si>
  <si>
    <t xml:space="preserve">2026-08-11</t>
  </si>
  <si>
    <t xml:space="preserve">Aquisição de diversos componentes necessários para o sistema de eletrólise para testes e validação dos processos de sínt</t>
  </si>
  <si>
    <t xml:space="preserve">Taipas-Turitermas-Cooperativa de Interesse Público, RL</t>
  </si>
  <si>
    <t xml:space="preserve">501676430</t>
  </si>
  <si>
    <t xml:space="preserve">Sincronideia Lda (1); Xamix - Engenharia e Sistemas de Segurança Lda (1)</t>
  </si>
  <si>
    <t xml:space="preserve">Aquisição de serviços de consultoria no âmbito do RGPD, DPO e RGPC</t>
  </si>
  <si>
    <t xml:space="preserve">IB - Agência para a Dinamização Económica, EM</t>
  </si>
  <si>
    <t xml:space="preserve">504807706</t>
  </si>
  <si>
    <t xml:space="preserve">Tabique - Engenharia, Lda. (1); Vitor Hugo - Coordenação e Gestão de Projetos, S.A. (1)</t>
  </si>
  <si>
    <t xml:space="preserve">2026-05-05</t>
  </si>
  <si>
    <t xml:space="preserve">A D N.º 14/2026 - Revisão do projeto de especialidades no âmbito do projeto Bio-MedTech Hub</t>
  </si>
  <si>
    <t xml:space="preserve">FORAVE - Associação para a Educação Profissional do Vale do Ave</t>
  </si>
  <si>
    <t xml:space="preserve">502503874</t>
  </si>
  <si>
    <t xml:space="preserve">Inforabreu (+2) (2); Estrelabinária, Lda. (1); DBG - Gabinete de Aplicações INformáticas, Lda. (1)</t>
  </si>
  <si>
    <t xml:space="preserve">2026-02-12</t>
  </si>
  <si>
    <t xml:space="preserve">Serviços Gestão Financeira projetos_CTE</t>
  </si>
  <si>
    <t xml:space="preserve">Serviço de Utilização Comum dos Hospitais</t>
  </si>
  <si>
    <t xml:space="preserve">500900469</t>
  </si>
  <si>
    <t xml:space="preserve">Formato EC - Consultoria e Engenharia, Lda (1); CENTERM (1)</t>
  </si>
  <si>
    <t xml:space="preserve">2026-01-29</t>
  </si>
  <si>
    <t xml:space="preserve">Prestação de Serviços para Elaboração do projeto de Arranjos Exteriores - ULSTMAD</t>
  </si>
  <si>
    <t xml:space="preserve">Santa Casa da Misericórdia de Barcelos</t>
  </si>
  <si>
    <t xml:space="preserve">500239886</t>
  </si>
  <si>
    <t xml:space="preserve">Bitpro Sistemas Informção, Lda (1); Huild – Building Solutions, Lda (1)</t>
  </si>
  <si>
    <t xml:space="preserve">2026-08-28</t>
  </si>
  <si>
    <t xml:space="preserve">Aquisição de Equipamentos Informáticos para a UCCI de Santo António da Santa Casa da Misericórdia de Barcelos</t>
  </si>
  <si>
    <t xml:space="preserve">Centro Social do Vale do Homem</t>
  </si>
  <si>
    <t xml:space="preserve">507533208</t>
  </si>
  <si>
    <t xml:space="preserve">João A.V.Pimenta Lda - Divitec (1); T.D.P. - Projectos e Fiscalizacao, Lda (1); ORIZEC - Gestão, Coordenação e Fiscalização, Unipessoal, Lda. (1)</t>
  </si>
  <si>
    <t xml:space="preserve">2026-07-31</t>
  </si>
  <si>
    <t xml:space="preserve">Aquisição de Equipamento móvel e informático para a CASA MÃE (resposta social CACI e RAI)</t>
  </si>
  <si>
    <t xml:space="preserve">Associação TECMEAT - Centro de Competências do Agroalimentar para o Setor das Carnes</t>
  </si>
  <si>
    <t xml:space="preserve">515113859</t>
  </si>
  <si>
    <t xml:space="preserve">JANS INFORMÁTICA - Sociedade Unipessoal, Lda. (1); Alicontrol - Tecnologia e Controlo de Alimentos, Lda. (1)</t>
  </si>
  <si>
    <t xml:space="preserve">2026-07-07</t>
  </si>
  <si>
    <t xml:space="preserve">Fornecimento de equipamento informático (hardware) e software destinado ao sistema de informação do TECMEAT</t>
  </si>
  <si>
    <t xml:space="preserve">Agrupamento de Escolas Dr. Francisco Sanches</t>
  </si>
  <si>
    <t xml:space="preserve">600072541</t>
  </si>
  <si>
    <t xml:space="preserve">Inforlândia,SA (2); Areal Editores, S.a. (1)</t>
  </si>
  <si>
    <t xml:space="preserve">AQUISIÇÃO DE MATERIAL INFORMÁTICO – Kits Digitais e Biblioteca</t>
  </si>
  <si>
    <t xml:space="preserve">Agrupamento de Escolas Alberto Sampaio, Braga</t>
  </si>
  <si>
    <t xml:space="preserve">600077594</t>
  </si>
  <si>
    <t xml:space="preserve">Amplitude Portatil, Unip. Lda (3)</t>
  </si>
  <si>
    <t xml:space="preserve">2026-07-09</t>
  </si>
  <si>
    <t xml:space="preserve">Escola Artística Cons.Música Calouste Gulbenkian</t>
  </si>
  <si>
    <t xml:space="preserve">600041247</t>
  </si>
  <si>
    <t xml:space="preserve">Asnet Unipessoal, Lda (2); Sons do Clássico unip. Lda (1)</t>
  </si>
  <si>
    <t xml:space="preserve">2026-07-06</t>
  </si>
  <si>
    <t xml:space="preserve">AQUISIÇÃO DE PONTOS DE ACESSO DE REDE WIFI</t>
  </si>
  <si>
    <t xml:space="preserve">Instituto São João de Deus</t>
  </si>
  <si>
    <t xml:space="preserve">500927731</t>
  </si>
  <si>
    <t xml:space="preserve">CPCECHO, LDA (1); MEGABARCELOS - Informática e Tecnologia Unip. Lda. (1); Atelier Arquitetura e Engenharia Filipe &amp; Gabriela, Lda (1)</t>
  </si>
  <si>
    <t xml:space="preserve">Aquisição de equipamento informático e de rede, por lotes</t>
  </si>
  <si>
    <t xml:space="preserve">Zendensino - Cooperativa de Interesse Público de Responsabilidade Limitada</t>
  </si>
  <si>
    <t xml:space="preserve">504639862</t>
  </si>
  <si>
    <t xml:space="preserve">ClouDirect Lda (2); INOVAR +AZ - Sistemas de Informação, Lda (1); Atelier Arquitetura e Engenharia Filipe &amp; Gabriela, Lda (1)</t>
  </si>
  <si>
    <t xml:space="preserve">2026-03-13</t>
  </si>
  <si>
    <t xml:space="preserve">Freguesia de Sequeira</t>
  </si>
  <si>
    <t xml:space="preserve">507031350</t>
  </si>
  <si>
    <t xml:space="preserve">S.E.S.I. - SIST. ELECTRONICOS SEGURANÇA INTEGRADA, LDA (1)</t>
  </si>
  <si>
    <t xml:space="preserve">Aquisição e instalação de sistema de segurança e videovigilância para a sede da Junta de Freguesia de Sequeira</t>
  </si>
  <si>
    <t xml:space="preserve">Agrupamento de Escolas Carlos Amarante, Braga</t>
  </si>
  <si>
    <t xml:space="preserve">600081311</t>
  </si>
  <si>
    <t xml:space="preserve">ASNET UNIPESSOAL, LDA. (2); Amplitude Portatil, Unip. Lda (1)</t>
  </si>
  <si>
    <t xml:space="preserve">2025-12-26</t>
  </si>
  <si>
    <t xml:space="preserve">AQUISIÇÃO DE MATERIAL INFORMÁTICO E AFINS</t>
  </si>
  <si>
    <t xml:space="preserve">Agrupamento de Escolas de Santa Maria Maior</t>
  </si>
  <si>
    <t xml:space="preserve">600072800</t>
  </si>
  <si>
    <t xml:space="preserve">InfNetWork de Michel Alexandre Rodrigues Alves (2); Manuel Rui Azinhais Nabeiro, Unipessoal, Lda (1)</t>
  </si>
  <si>
    <t xml:space="preserve">2025-12-18</t>
  </si>
  <si>
    <t xml:space="preserve">Aquisição de café e produtos afins </t>
  </si>
  <si>
    <t xml:space="preserve">Agrupamento de Escolas de Maximinos, Braga</t>
  </si>
  <si>
    <t xml:space="preserve">600084256</t>
  </si>
  <si>
    <t xml:space="preserve">ASNET (2); ATARAXIA-ESTUDOS E SERVIÇOS EM TECN DE INFORMAÇÃO LDA (1)</t>
  </si>
  <si>
    <t xml:space="preserve">2025-12-03</t>
  </si>
  <si>
    <t xml:space="preserve">AQUISIÇÃO DE EQUIPAMENTOS INFORMÁTICOS, LEITOR AUTÓNOMO E SOFTWARES</t>
  </si>
  <si>
    <t xml:space="preserve">EPB - Escola Profissional de Braga, Lda</t>
  </si>
  <si>
    <t xml:space="preserve">504103032</t>
  </si>
  <si>
    <t xml:space="preserve">ALPHASC, UNIPESSOAL, LDA (1)</t>
  </si>
  <si>
    <t xml:space="preserve">2025-11-26</t>
  </si>
  <si>
    <t xml:space="preserve">Consulta Prévia nº 6/2025-Aquisição de serviços de ligação do sistema de deteção de
intrusão e incêndio do sistema de CC</t>
  </si>
  <si>
    <t xml:space="preserve">MARB - Mercado Abastecedor da Região de Braga, S. A.</t>
  </si>
  <si>
    <t xml:space="preserve">503919403</t>
  </si>
  <si>
    <t xml:space="preserve">Sepreve - Equipamentos de Prevenção e Segurança, Lda. (1)</t>
  </si>
  <si>
    <t xml:space="preserve">Prestação de Serviços de Assistência e Manutenção do SADI</t>
  </si>
  <si>
    <t xml:space="preserve">Agrupamento de Escolas de Cabeceiras de Basto</t>
  </si>
  <si>
    <t xml:space="preserve">600084230</t>
  </si>
  <si>
    <t xml:space="preserve">CBL - Computadores de Basto, Lda (1); Duetoriginal, Unipessaol, Lda (1)</t>
  </si>
  <si>
    <t xml:space="preserve">Serviço na Assistência Técnica aos Equipamentos Informáticos no Agrupamento de Escolas de Cabeceiras de Basto</t>
  </si>
  <si>
    <t xml:space="preserve">Santa Casa da Misericórdia de Fafe</t>
  </si>
  <si>
    <t xml:space="preserve">501403256</t>
  </si>
  <si>
    <t xml:space="preserve">CHEAPTRADE - lojas de informática, Lda (1); Eduardo Sousa (1)</t>
  </si>
  <si>
    <t xml:space="preserve">2026-09-15</t>
  </si>
  <si>
    <t xml:space="preserve">Aquisição de equipamento informático destinado à ERPI Cónego Leite de Araújo (Lar 1), no âmbito da candidatura PRR-RE-C0</t>
  </si>
  <si>
    <t xml:space="preserve">Agrupamento de Escolas Alcaides de Faria</t>
  </si>
  <si>
    <t xml:space="preserve">600085449</t>
  </si>
  <si>
    <t xml:space="preserve">Megabarcelos Inf. e Tecnologia Unipessoal Lda (1); DCS, Lda (1)</t>
  </si>
  <si>
    <t xml:space="preserve">Aquisição de material informático</t>
  </si>
  <si>
    <t xml:space="preserve">Comunidade Intermunicipal do Cávado</t>
  </si>
  <si>
    <t xml:space="preserve">508779472</t>
  </si>
  <si>
    <t xml:space="preserve">Silvertic-equipamentos Escritório, Lda (1); NOVAVERDEIT - SOLUÇÕES INFORMÁTICAS, LDª (1)</t>
  </si>
  <si>
    <t xml:space="preserve">Aquisição de 4 scanners planos de grande formato para digitalização profissional, incluindo instalação e configuração na</t>
  </si>
  <si>
    <t xml:space="preserve">INOVINTER - Centro de Formação e de Inovação Tecnológica</t>
  </si>
  <si>
    <t xml:space="preserve">504797956</t>
  </si>
  <si>
    <t xml:space="preserve">INCENTEA - TECHNOLOGY FOR PEOPLE, S.A (1); LISTOPSIS- Business Solutions Lda (1)</t>
  </si>
  <si>
    <t xml:space="preserve">2026-02-27</t>
  </si>
  <si>
    <t xml:space="preserve">Não havendo recursos internos, com conhecimentos suficientes para o desenvolvimento do trabalho, a contratação da presta</t>
  </si>
  <si>
    <t xml:space="preserve">Cooperativa de Ensino de Vila Nova de Famalicão, CRL</t>
  </si>
  <si>
    <t xml:space="preserve">504511734</t>
  </si>
  <si>
    <t xml:space="preserve">DBG - Gabinete de Aplicações INformáticas, Lda. (1); Ondulante &amp; Corajoso - Unipessoal Lda (1)</t>
  </si>
  <si>
    <t xml:space="preserve">2026-02-26</t>
  </si>
  <si>
    <t xml:space="preserve">Aquisição de serviços de assistência técnica ao software dbGEP  
</t>
  </si>
  <si>
    <t xml:space="preserve">Empresa Municipal de Educação e Cultura de Barcelos, E. M.</t>
  </si>
  <si>
    <t xml:space="preserve">504635417</t>
  </si>
  <si>
    <t xml:space="preserve">MEO - Serviços de Comunicações e Multimédia, S.A. (2); Webout - Soluções de Internet Lda. (1); Vimaponto, Equipamentos e Serviços de Informática, SA (1)</t>
  </si>
  <si>
    <t xml:space="preserve">2026-02-06</t>
  </si>
  <si>
    <t xml:space="preserve">Assistência Técnica Informática</t>
  </si>
  <si>
    <t xml:space="preserve">Associação Empresarial de Fafe, Cabeceiras de Basto e Celorico de Basto</t>
  </si>
  <si>
    <t xml:space="preserve">500876096</t>
  </si>
  <si>
    <t xml:space="preserve">Primavera-Business Software Solutions S.A. (1); CODEVISION, S. A. (1)</t>
  </si>
  <si>
    <t xml:space="preserve">2026-01-28</t>
  </si>
  <si>
    <t xml:space="preserve">Contrato de licenciamento de software de contabilidade
</t>
  </si>
  <si>
    <t xml:space="preserve">IRMANDADE DA SANTA CASA DA MISERICÓRDIA DE RIBA D'AVE</t>
  </si>
  <si>
    <t xml:space="preserve">500746656</t>
  </si>
  <si>
    <t xml:space="preserve">HUILD - BUILDING SOLUTIONS, LDA (2)</t>
  </si>
  <si>
    <t xml:space="preserve">2026-05-22</t>
  </si>
  <si>
    <t xml:space="preserve">Aquisição de Serviços de Elaboração de Projeto de Execução de Arquitetura e Especialidades, Assessoria em Contratação Pú</t>
  </si>
  <si>
    <t xml:space="preserve">Sociedade Martins Sarmento</t>
  </si>
  <si>
    <t xml:space="preserve">501073477</t>
  </si>
  <si>
    <t xml:space="preserve">CREAR - CRIAÇÃO E ESTUDOS DE ARQUITECTURA E ENGENHARIA, LDA. (2)</t>
  </si>
  <si>
    <t xml:space="preserve">2025-12-22</t>
  </si>
  <si>
    <t xml:space="preserve">Serviços de elaboração de projetos de arquitetura e especialidades no âmbito do novo polo arqueológico da Sociedade Mart</t>
  </si>
  <si>
    <t xml:space="preserve">Centro Social Cultural e Recreativo das Freguesias de Messegães Valarares e Sá - Monção</t>
  </si>
  <si>
    <t xml:space="preserve">502826347</t>
  </si>
  <si>
    <t xml:space="preserve">Rscr - Electricidade e Iluminação, Lda. (1)</t>
  </si>
  <si>
    <t xml:space="preserve">2025-08-11</t>
  </si>
  <si>
    <t xml:space="preserve">Este procedimento destina-se à instalação de painéis fotovoltaicos no edifício do CENSO.</t>
  </si>
  <si>
    <t xml:space="preserve">Serviços Municipalizados de Viana do Castelo</t>
  </si>
  <si>
    <t xml:space="preserve">680012907</t>
  </si>
  <si>
    <t xml:space="preserve">OLIMEC, UNIPESSOAL LDA (2); Ergontotis Lda (1); Medidata.Net - Sistemas de Informação para Autarquias, SA (1)</t>
  </si>
  <si>
    <t xml:space="preserve">Aquisição de solução tecnológica integrada de suporte operacional</t>
  </si>
  <si>
    <t xml:space="preserve">ADEMINHO - Associação para o Desenvolvimento do Ensino Profissional do Alto Minho Interior</t>
  </si>
  <si>
    <t xml:space="preserve">504853198</t>
  </si>
  <si>
    <t xml:space="preserve">Divultec-Serviços de Informática, Lda. (2)</t>
  </si>
  <si>
    <t xml:space="preserve">2026-06-04</t>
  </si>
  <si>
    <t xml:space="preserve">Aquisição de serviços de renovação de licenciamento e manutenção de software.</t>
  </si>
  <si>
    <t xml:space="preserve">Santa Casa da Misericórdia de Fão - Hospital e Lar S. João de Deus</t>
  </si>
  <si>
    <t xml:space="preserve">500779112</t>
  </si>
  <si>
    <t xml:space="preserve">Cardoso &amp; Rocha's - Instalações Eléctricas, Lda. (1); Onworks - Construções, Lda (1)</t>
  </si>
  <si>
    <t xml:space="preserve">2026-05-08</t>
  </si>
  <si>
    <t xml:space="preserve">Aquisição e Instalação do Grupo Gerador</t>
  </si>
  <si>
    <t xml:space="preserve">Escola Secundária Martins Sarmento, Guimarães</t>
  </si>
  <si>
    <t xml:space="preserve">600010791</t>
  </si>
  <si>
    <t xml:space="preserve">Asnet Unipessoal, Lda (2)</t>
  </si>
  <si>
    <t xml:space="preserve">2026-03-16</t>
  </si>
  <si>
    <t xml:space="preserve">Aquisição de Material de Informática</t>
  </si>
  <si>
    <t xml:space="preserve">Didáxis II - Formação e Serviços, S. A.</t>
  </si>
  <si>
    <t xml:space="preserve">510785646</t>
  </si>
  <si>
    <t xml:space="preserve">MGVSI - INFORMÁTICA, CONSULTADORIA SIST. DE INF., LDA (1); Decsis - Sistemas de Informação SA (1)</t>
  </si>
  <si>
    <t xml:space="preserve">2025-09-30</t>
  </si>
  <si>
    <t xml:space="preserve">Aquisição de computadores, monitores e quadros interativos</t>
  </si>
  <si>
    <t xml:space="preserve">Associação Comercial de Braga</t>
  </si>
  <si>
    <t xml:space="preserve">500971285</t>
  </si>
  <si>
    <t xml:space="preserve">E-goi, lda (1); EDIGMA, S.A. (1)</t>
  </si>
  <si>
    <t xml:space="preserve">2025-09-26</t>
  </si>
  <si>
    <t xml:space="preserve">Aquisição de ferramenta de marketing CDP, automação omnicanal, tracking identificado em espaço físico e serviços transac</t>
  </si>
  <si>
    <t xml:space="preserve">EPAVE - Escola Profissional do Alto Ave, E. M.</t>
  </si>
  <si>
    <t xml:space="preserve">504596608</t>
  </si>
  <si>
    <t xml:space="preserve">Configbit - Soluções Tecnológicas Uniessoal, Lda. (1); Xdoc – Equipamentos de Escritório, Lda (1); LIF - Luis Ismael Fernandes, unip Lda (1)</t>
  </si>
  <si>
    <t xml:space="preserve">2025-08-12</t>
  </si>
  <si>
    <t xml:space="preserve">Aquisição de Equipamentos e Material Informático para o Centro Tecnológico Especializado</t>
  </si>
  <si>
    <t xml:space="preserve">Santa Casa da Misericórdia de Vizela</t>
  </si>
  <si>
    <t xml:space="preserve">500848610</t>
  </si>
  <si>
    <t xml:space="preserve">Allfix, Lda (1)</t>
  </si>
  <si>
    <t xml:space="preserve">Empreitada de Instalação de Painéis Fotovoltaicos para Autoconsumo para a Santa Casa da Misericórdia de Vizela</t>
  </si>
  <si>
    <t xml:space="preserve">APF VianaFestas - Associação Promotora das Festas da Cidade de Viana do Castelo</t>
  </si>
  <si>
    <t xml:space="preserve">505552060</t>
  </si>
  <si>
    <t xml:space="preserve">Painhas SA (1)</t>
  </si>
  <si>
    <t xml:space="preserve">Serviço de montagem de ramal elétrico</t>
  </si>
  <si>
    <t xml:space="preserve">LAR DE SANTO ANTÓNIO</t>
  </si>
  <si>
    <t xml:space="preserve">500886342</t>
  </si>
  <si>
    <t xml:space="preserve">Trajetos com Energia, Ld (1)</t>
  </si>
  <si>
    <t xml:space="preserve">Empreitada de instalação de sistema fotovoltaico com baterias de acumulação para autoconsumo</t>
  </si>
  <si>
    <t xml:space="preserve">Santa Casa da Misericórdia de Melgaço</t>
  </si>
  <si>
    <t xml:space="preserve">500852464</t>
  </si>
  <si>
    <t xml:space="preserve">Fourclim, Lda (1)</t>
  </si>
  <si>
    <t xml:space="preserve">2026-06-03</t>
  </si>
  <si>
    <t xml:space="preserve">Aquisição de Serviços para Fornecimento e Montagem de Sistema Fotovoltaico para o Edifício Creche e Jardim de Infância</t>
  </si>
  <si>
    <t xml:space="preserve">Agrupamento de Escolas Padre Benjamim Salgado</t>
  </si>
  <si>
    <t xml:space="preserve">600085554</t>
  </si>
  <si>
    <t xml:space="preserve">A. Lopes &amp; Fernandes, Lda (1)</t>
  </si>
  <si>
    <t xml:space="preserve">2026-05-20</t>
  </si>
  <si>
    <t xml:space="preserve">Aquisição de Material de Eletrónica e Eletricidade para os Cursos 
Profissionais do AEPBS, para o ano civil de 2026 </t>
  </si>
  <si>
    <t xml:space="preserve">Fundação Stela e Oswaldo Bomfim</t>
  </si>
  <si>
    <t xml:space="preserve">502948884</t>
  </si>
  <si>
    <t xml:space="preserve">JAF-Energias Renováveis Lda (1)</t>
  </si>
  <si>
    <t xml:space="preserve">2026-05-14</t>
  </si>
  <si>
    <t xml:space="preserve">Fornecimento, Instalação e Colocação em Serviço do Sistema de Autoconsumo Fotovoltaico na empreitada Novo Equipamento So</t>
  </si>
  <si>
    <t xml:space="preserve">Freguesia de Facha</t>
  </si>
  <si>
    <t xml:space="preserve">507032454</t>
  </si>
  <si>
    <t xml:space="preserve">CUNHA BASTOS, LDA (1)</t>
  </si>
  <si>
    <t xml:space="preserve">2026-03-31</t>
  </si>
  <si>
    <t xml:space="preserve">Remodelação de infraestruturas elétricas – novo arruamento na Facha, PTL</t>
  </si>
  <si>
    <t xml:space="preserve">A Giromundo Viagens e Turismo, Lda.</t>
  </si>
  <si>
    <t xml:space="preserve">503578754</t>
  </si>
  <si>
    <t xml:space="preserve">RZSOLAR, LDA (1)</t>
  </si>
  <si>
    <t xml:space="preserve">2026-03-24</t>
  </si>
  <si>
    <t xml:space="preserve">FORNECIMENTO E INSTALAÇÃO DOIS CARREGADORES ELÉTRICOS  E EXECUÇÃO DA INSTALAÇÃO DA INFRAESTRUTURA DE CARREGAMENTO E CONT</t>
  </si>
  <si>
    <t xml:space="preserve">Cooperativa de Educação e Reabilitação de Crianças Inadaptadas de Fafe, CRL</t>
  </si>
  <si>
    <t xml:space="preserve">500860602</t>
  </si>
  <si>
    <t xml:space="preserve">TECNIAGRELA, LDA. (1)</t>
  </si>
  <si>
    <t xml:space="preserve">2026-03-11</t>
  </si>
  <si>
    <t xml:space="preserve">Procedimento N.º 04/2026 - Consulta Prévia - “Eficiência Energética – CACI’s”</t>
  </si>
  <si>
    <t xml:space="preserve">União das Freguesias de Merelim (São Pedro) e Frossos</t>
  </si>
  <si>
    <t xml:space="preserve">510837913</t>
  </si>
  <si>
    <t xml:space="preserve">Ligalote, Lda (1)</t>
  </si>
  <si>
    <t xml:space="preserve">Instalação de Iluminação Pública nos percursos pedestres das margens do rio Torto</t>
  </si>
  <si>
    <t xml:space="preserve">Agrupamento de Escolas de Barcelos</t>
  </si>
  <si>
    <t xml:space="preserve">600085198</t>
  </si>
  <si>
    <t xml:space="preserve">PGISI, Lda (2); MEO - Serviços de Comunicações e Multimédia, S.A. (+1) (1); Clevermaster - Sociedade de Equipamentos Audiovisuais e Multimédia, Lda. (1)</t>
  </si>
  <si>
    <t xml:space="preserve">Aquisição de equipamento para equipar o Centro Tecnológico Especializado - Informática, por lotes</t>
  </si>
  <si>
    <t xml:space="preserve">Freguesia de Palmeira</t>
  </si>
  <si>
    <t xml:space="preserve">507330536</t>
  </si>
  <si>
    <t xml:space="preserve">Bizz Box, Lda (2)</t>
  </si>
  <si>
    <t xml:space="preserve">2025-04-24</t>
  </si>
  <si>
    <t xml:space="preserve">Prestação de serviços de elaboração de Projeto de Arquitetura e Especialidades de Engenharia – Requalificação de Ruas e </t>
  </si>
  <si>
    <t xml:space="preserve">EAmb - Esposende Ambiente, EM</t>
  </si>
  <si>
    <t xml:space="preserve">507068076</t>
  </si>
  <si>
    <t xml:space="preserve">Digiheart, Lda (1); CASO - Consultores Associados de Organizações e Informática , Lda. (1)</t>
  </si>
  <si>
    <t xml:space="preserve">Aquisição da Renovação do Sistema de CiberSegurança Checkpoint e Serviços Especializados Security e Compliance</t>
  </si>
  <si>
    <t xml:space="preserve">Turismo do Porto e Norte de Portugal</t>
  </si>
  <si>
    <t xml:space="preserve">508905435</t>
  </si>
  <si>
    <t xml:space="preserve">RURISOCIETATE, UNIPESSOAL LDA. (1); Exitus, Soluções Tecnológicas, Lda. (1)</t>
  </si>
  <si>
    <t xml:space="preserve">Consultoria para Desenvolvimento de sistema de informação relativo à atividade turística nas Cidades e o seu Potencial T</t>
  </si>
  <si>
    <t xml:space="preserve">EsproMinho - Escola Profissional do Minho, L.da</t>
  </si>
  <si>
    <t xml:space="preserve">504731475</t>
  </si>
  <si>
    <t xml:space="preserve">Bcn - Sistemas de Escritório e Imagem, S.a. (1); CODEVISION SA (1)</t>
  </si>
  <si>
    <t xml:space="preserve">Aquisição e instalação de equipamento didático e de equipamento informático, para CTE INFORMÁTICA ESPROMINHO</t>
  </si>
  <si>
    <t xml:space="preserve">Agrupamento de Escolas André Soares, Braga</t>
  </si>
  <si>
    <t xml:space="preserve">600081702</t>
  </si>
  <si>
    <t xml:space="preserve">ASNET UNIPESSOAL, LDA. (2)</t>
  </si>
  <si>
    <t xml:space="preserve">2025-07-15</t>
  </si>
  <si>
    <t xml:space="preserve">Aquisição De Material Informático – kits Digitais II</t>
  </si>
  <si>
    <t xml:space="preserve">IRIS - Instituto de Reabilitação e Integração Social</t>
  </si>
  <si>
    <t xml:space="preserve">502722932</t>
  </si>
  <si>
    <t xml:space="preserve">DUARTE &amp; GODINHO, LDA (1)</t>
  </si>
  <si>
    <t xml:space="preserve">Prestação de serviços de elaboração da alteração ao loteamento, estudo prévio de arquitetura e anteprojeto/ projeto base</t>
  </si>
  <si>
    <t xml:space="preserve">Freguesia de Vila Boa</t>
  </si>
  <si>
    <t xml:space="preserve">519048458</t>
  </si>
  <si>
    <t xml:space="preserve">Miguel Terra Sá - Arquitetura, Unipessoal Lda. (1)</t>
  </si>
  <si>
    <t xml:space="preserve">Aquisição de serviços para elaboração de projeto de arquitetura e engenharia, incluindo o respetivo projeto de execução </t>
  </si>
  <si>
    <t xml:space="preserve">Fundação INATEL</t>
  </si>
  <si>
    <t xml:space="preserve">500122237</t>
  </si>
  <si>
    <t xml:space="preserve">RUPTURA - PLANEAMENTO E GESTÃO DE PROJETOS, LDA (1)</t>
  </si>
  <si>
    <t xml:space="preserve">Aquisição de serviços para elaboração dos projetos de licenciamento e execução para construção da nova piscina interior </t>
  </si>
  <si>
    <t xml:space="preserve">Instituto do Turismo de Portugal, IP</t>
  </si>
  <si>
    <t xml:space="preserve">508666236</t>
  </si>
  <si>
    <t xml:space="preserve">Pengest, SA (1)</t>
  </si>
  <si>
    <t xml:space="preserve">Aquisição de serviços de fiscalização e coordenação de segurança em obra das empreitadas para implementação de medidas d</t>
  </si>
  <si>
    <t xml:space="preserve">Agrupamento Europeu de Cooperação Territorial do Rio Minho - AECT Rio Minho</t>
  </si>
  <si>
    <t xml:space="preserve">514724790</t>
  </si>
  <si>
    <t xml:space="preserve">CONSULTORIA INRUPRE SL (1)</t>
  </si>
  <si>
    <t xml:space="preserve">2026-08-10</t>
  </si>
  <si>
    <t xml:space="preserve">Aquisição de serviços para "Elaboração do projeto de execução para da Ponte Pedonal Internacional As Neves - Monção"</t>
  </si>
  <si>
    <t xml:space="preserve">Freguesia de Oleiros</t>
  </si>
  <si>
    <t xml:space="preserve">507064402</t>
  </si>
  <si>
    <t xml:space="preserve">GMF - ENGENHARIA &amp; ARQUITECTURA, LDA (1)</t>
  </si>
  <si>
    <t xml:space="preserve">Aquisição de Serviços de Elaboração de Projeto de Execução para o Museu da Pirotecnia Oleirense e Casa dos Sabores de Ol</t>
  </si>
  <si>
    <t xml:space="preserve">Instituto para os Comportamentos Aditivios e as Dependências, I.P. (ICAD, I.P.)</t>
  </si>
  <si>
    <t xml:space="preserve">517839539</t>
  </si>
  <si>
    <t xml:space="preserve">TUU - Building Design Management, S.A. (1)</t>
  </si>
  <si>
    <t xml:space="preserve">Aquisição Serviços de Fiscalização das Empreitas do CRI Braga, UD Norte, UD e UA Coimbra e CRI de Setúbal</t>
  </si>
  <si>
    <t xml:space="preserve">Freguesia de Alvelos</t>
  </si>
  <si>
    <t xml:space="preserve">507091329</t>
  </si>
  <si>
    <t xml:space="preserve">Adelino Jorge de Sá Campinho (1)</t>
  </si>
  <si>
    <t xml:space="preserve">2026-06-18</t>
  </si>
  <si>
    <t xml:space="preserve">Elaboração de projeto para construção da Capela Mortuária de Alvelos</t>
  </si>
  <si>
    <t xml:space="preserve">Centro Social da Paróquia de Polvoreira</t>
  </si>
  <si>
    <t xml:space="preserve">502843918</t>
  </si>
  <si>
    <t xml:space="preserve">HUILD - BUILDING SOLUTIONS, LDA (1)</t>
  </si>
  <si>
    <t xml:space="preserve">2026-05-28</t>
  </si>
  <si>
    <t xml:space="preserve">Irmandade de Santa Casa da Misericórdia de S. Miguel de Refojos</t>
  </si>
  <si>
    <t xml:space="preserve">501501428</t>
  </si>
  <si>
    <t xml:space="preserve">União das Freguesias de Viatodos, Grimancelos, Minhotães e Monte de Fralães</t>
  </si>
  <si>
    <t xml:space="preserve">510840957</t>
  </si>
  <si>
    <t xml:space="preserve">Nelson Manuel Novais Alves (1)</t>
  </si>
  <si>
    <t xml:space="preserve">2026-05-18</t>
  </si>
  <si>
    <t xml:space="preserve">Elaboração de projetos de arquitetura para a Rua da Isabelinha e requalificação da antiga pré-primária de Grimancelos</t>
  </si>
  <si>
    <t xml:space="preserve">Freguesia de Tadim</t>
  </si>
  <si>
    <t xml:space="preserve">507007239</t>
  </si>
  <si>
    <t xml:space="preserve">Bizz Box, Lda (1)</t>
  </si>
  <si>
    <t xml:space="preserve">2026-05-07</t>
  </si>
  <si>
    <t xml:space="preserve">aquisição de serviços para “Elaboração de projeto de águas pluviais em via pública”</t>
  </si>
  <si>
    <t xml:space="preserve">Associação Maconde - Braga</t>
  </si>
  <si>
    <t xml:space="preserve">501994556</t>
  </si>
  <si>
    <t xml:space="preserve">Atelier de Arquitectura e Engenharia - Filipe &amp; Gabrielela, Lda. (1)</t>
  </si>
  <si>
    <t xml:space="preserve">2026-04-29</t>
  </si>
  <si>
    <t xml:space="preserve">Aquisição dos serviços para a elaboração do Projeto de Arquitetura, Projetos de Especialidades e Projeto de Execução, pa</t>
  </si>
  <si>
    <t xml:space="preserve">Comunidade dos Baldios de Soajo</t>
  </si>
  <si>
    <t xml:space="preserve">901443387</t>
  </si>
  <si>
    <t xml:space="preserve">Raízes Independentes, Lda. (1)</t>
  </si>
  <si>
    <t xml:space="preserve">2026-04-05</t>
  </si>
  <si>
    <t xml:space="preserve">Fiscalização do Projeto de Beneficiação e Condução de Povoamento de Pinheiro Bravo – Parcela 1 e 2 do Soajo</t>
  </si>
  <si>
    <t xml:space="preserve">União das Freguesias de Agrela e Serafão</t>
  </si>
  <si>
    <t xml:space="preserve">510833870</t>
  </si>
  <si>
    <t xml:space="preserve">GeoXXI Lda. (1)</t>
  </si>
  <si>
    <t xml:space="preserve">Aquisição de Serviços de Projeto de Execução das diferentes especialidades, nomeadamente, Arquitetura Paisagista e Engen</t>
  </si>
  <si>
    <t xml:space="preserve">Centro Social da Paróquia S. Martinho de Medelo</t>
  </si>
  <si>
    <t xml:space="preserve">502714603</t>
  </si>
  <si>
    <t xml:space="preserve">ARQUEURO – Gabinete de Arquitectura e Engenharia, Lda (1)</t>
  </si>
  <si>
    <t xml:space="preserve">AQUISIÇÃO DE SERVIÇOS DE ELABORAÇÃO DE ESPECIFICAÇÕES TÉCNICAS E PROJETO DE EXECUÇÃO DA EMPREITADA DE UNIDADE DE CUIDADO</t>
  </si>
  <si>
    <t xml:space="preserve">Centro Social Paroquial de São Sebastião de Chafé</t>
  </si>
  <si>
    <t xml:space="preserve">501436260</t>
  </si>
  <si>
    <t xml:space="preserve">ARTOPE - GAB. ARQUITETURA, TOPOGRAFIA E ENGENHARIA LDA (1)</t>
  </si>
  <si>
    <t xml:space="preserve">2026-02-22</t>
  </si>
  <si>
    <t xml:space="preserve">Serviços de projetos de licenciamento e de execução de arquitetura e projetos de especialidades, destinada à obra de alt</t>
  </si>
  <si>
    <t xml:space="preserve">Serviços Sociais da Guarda Nacional Republicana</t>
  </si>
  <si>
    <t xml:space="preserve">501433813</t>
  </si>
  <si>
    <t xml:space="preserve">Michael Mocho dos Santos (1)</t>
  </si>
  <si>
    <t xml:space="preserve">2026-02-10</t>
  </si>
  <si>
    <t xml:space="preserve">PRESTAÇÃO DE SERVIÇOS NA MODALIDADE DE AVENÇA PARA A COORDENAÇÃO E FISCALIZAÇÃO DAS OBRAS NOS DISTRITOS DE BRAGA, VILA R</t>
  </si>
  <si>
    <t xml:space="preserve">Associação dos Amigos da Pessoa Especial Limiana - AAPEL</t>
  </si>
  <si>
    <t xml:space="preserve">509225780</t>
  </si>
  <si>
    <t xml:space="preserve">HQMT ATELIER LDA (1)</t>
  </si>
  <si>
    <t xml:space="preserve">2026-02-08</t>
  </si>
  <si>
    <t xml:space="preserve">Elaboração/adaptação de projetos de execução de arquitetura e especialidades tendo em vista um programa mais ambicioso, </t>
  </si>
  <si>
    <t xml:space="preserve">Centro Social Paroquial de Santa Marinha da Costa</t>
  </si>
  <si>
    <t xml:space="preserve">501624619</t>
  </si>
  <si>
    <t xml:space="preserve">Exigência Pioneira - Engenharia Construção Unipessoal, Lda. (1)</t>
  </si>
  <si>
    <t xml:space="preserve">2026-02-03</t>
  </si>
  <si>
    <t xml:space="preserve">Fiscalização e Seg. Obra</t>
  </si>
  <si>
    <t xml:space="preserve">Cáritas Arquidiocesana de Braga</t>
  </si>
  <si>
    <t xml:space="preserve">501438394</t>
  </si>
  <si>
    <t xml:space="preserve">2025-12-31</t>
  </si>
  <si>
    <t xml:space="preserve">“Serviços de Fiscalização e Coordenação de Segurança para a Empreitada -" Construção de Centro de Acolhimento de Emergên</t>
  </si>
  <si>
    <t xml:space="preserve">Associação Sócio-Cultural de São Gens de Salamonde</t>
  </si>
  <si>
    <t xml:space="preserve">510316131</t>
  </si>
  <si>
    <t xml:space="preserve">Atelier Arquitetura e Engenharia Filipe &amp; Gabriela, Lda (1)</t>
  </si>
  <si>
    <t xml:space="preserve">2025-12-04</t>
  </si>
  <si>
    <t xml:space="preserve">Elaboração do Projeto de Arquitetura, Projetos de Especialidades e Projeto de Execução, para a ampliação do edifício des</t>
  </si>
  <si>
    <t xml:space="preserve">Freguesia de Urgezes</t>
  </si>
  <si>
    <t xml:space="preserve">506883779</t>
  </si>
  <si>
    <t xml:space="preserve">Hous3.Arquitectura, Unipessoal, Lda. (1)</t>
  </si>
  <si>
    <t xml:space="preserve">2025-11-16</t>
  </si>
  <si>
    <t xml:space="preserve">Projeto de alteração de canal de linha de água, constituído por: Levantamento Topográfico; Elaboração das plantas, corte</t>
  </si>
  <si>
    <t xml:space="preserve">União das Freguesias de Valença, Cristelo Covo e Arão</t>
  </si>
  <si>
    <t xml:space="preserve">510840850</t>
  </si>
  <si>
    <t xml:space="preserve">Sandra Cavaleiro Arquiteta, Unipessoal, Lda (1)</t>
  </si>
  <si>
    <t xml:space="preserve">2025-11-14</t>
  </si>
  <si>
    <t xml:space="preserve">Projeto de requalificação do Espaço da Antiga ETAR em Arão</t>
  </si>
  <si>
    <t xml:space="preserve">Centro Paroquial e Social de São João Baptista de Bico</t>
  </si>
  <si>
    <t xml:space="preserve">504781995</t>
  </si>
  <si>
    <t xml:space="preserve">R2P Consultoria Lda. (1)</t>
  </si>
  <si>
    <t xml:space="preserve">2025-10-30</t>
  </si>
  <si>
    <t xml:space="preserve">serviços de coordenação de segurança em obra e fiscalização</t>
  </si>
  <si>
    <t xml:space="preserve">União das Freguesias de Escudeiros e Penso (Santo Estevão e São Vicente)</t>
  </si>
  <si>
    <t xml:space="preserve">510836569</t>
  </si>
  <si>
    <t xml:space="preserve">Manuel Ângelo Bastos de Andrade Marques (1)</t>
  </si>
  <si>
    <t xml:space="preserve">2025-10-13</t>
  </si>
  <si>
    <t xml:space="preserve">Serviços de fiscalização de obra para reabilitação da antiga pré-Primária adaptando-a para duas habitações, no âmbito do</t>
  </si>
  <si>
    <t xml:space="preserve">Freguesia de Ronfe</t>
  </si>
  <si>
    <t xml:space="preserve">506970892</t>
  </si>
  <si>
    <t xml:space="preserve">A.L.M.A., Unipessoal, Lda. (1)</t>
  </si>
  <si>
    <t xml:space="preserve">2025-10-09</t>
  </si>
  <si>
    <t xml:space="preserve">Projeto da Casa Mortuária: Elaboração do projeto de arquitetura, arquitetura paisagística e projetos de especialidades d</t>
  </si>
  <si>
    <t xml:space="preserve">Freguesia de Balugães</t>
  </si>
  <si>
    <t xml:space="preserve">506960609</t>
  </si>
  <si>
    <t xml:space="preserve">Martins &amp; Filhos, S.A. (1)</t>
  </si>
  <si>
    <t xml:space="preserve">2025-10-07</t>
  </si>
  <si>
    <t xml:space="preserve">Eletrificação do Campo de Futebol da Giesta</t>
  </si>
  <si>
    <t xml:space="preserve">Centro Social João Paulo II</t>
  </si>
  <si>
    <t xml:space="preserve">501545921</t>
  </si>
  <si>
    <t xml:space="preserve">MGLS - Soluções de Energias Renováveis (1)</t>
  </si>
  <si>
    <t xml:space="preserve">2025-09-12</t>
  </si>
  <si>
    <t xml:space="preserve">Aquisição e instalação de painéis fotovoltaicos</t>
  </si>
  <si>
    <t xml:space="preserve">Freguesia de Cristelo</t>
  </si>
  <si>
    <t xml:space="preserve">507060032</t>
  </si>
  <si>
    <t xml:space="preserve">Narciso de Carvalho &amp; Filhos, Lda (1)</t>
  </si>
  <si>
    <t xml:space="preserve">2025-08-05</t>
  </si>
  <si>
    <t xml:space="preserve">Iluminação na Avenida da Igreja</t>
  </si>
  <si>
    <t xml:space="preserve">Centro Social Padre David de Oliveira Martins</t>
  </si>
  <si>
    <t xml:space="preserve">500899592</t>
  </si>
  <si>
    <t xml:space="preserve">ClimaCruz-Instalação Ar Condicionado e Ventilação, Lda (1)</t>
  </si>
  <si>
    <t xml:space="preserve">2025-06-26</t>
  </si>
  <si>
    <t xml:space="preserve">Empreitada de substituição do sistema de aquecimento e AQS, para a implementação de medidas de eficiência energética no </t>
  </si>
  <si>
    <t xml:space="preserve">Centro Social Paroquial de Areosa</t>
  </si>
  <si>
    <t xml:space="preserve">504630490</t>
  </si>
  <si>
    <t xml:space="preserve">Sioslife, S.A. (1)</t>
  </si>
  <si>
    <t xml:space="preserve">Aquisição de bens móveis no âmbito do Programa de Requalificação e Alargamento da Rede de
Equipamentos e Respostas Socia</t>
  </si>
  <si>
    <t xml:space="preserve">Santa Casa da Misericórdia de Braga</t>
  </si>
  <si>
    <t xml:space="preserve">500848645</t>
  </si>
  <si>
    <t xml:space="preserve">Senergil - Serviços de Energia, Ldª. (1)</t>
  </si>
  <si>
    <t xml:space="preserve">2026-09-01</t>
  </si>
  <si>
    <t xml:space="preserve">Aquisição de Equipamento Informático para o Pavilhão Sul da Santa Casa da Misericórdia de Braga</t>
  </si>
  <si>
    <t xml:space="preserve">Irmandade da Santa Casa de Misericórdia de Esposende</t>
  </si>
  <si>
    <t xml:space="preserve">501091980</t>
  </si>
  <si>
    <t xml:space="preserve">Rcsoft - Sistemas de Informação Unipessoal, Lda (1)</t>
  </si>
  <si>
    <t xml:space="preserve">2026-08-31</t>
  </si>
  <si>
    <t xml:space="preserve">Convite à apresentação de proposta no procedimento de consulta prévia para aquisição de Equipamentos de Rede e Cibersegu</t>
  </si>
  <si>
    <t xml:space="preserve">Santa Casa da Misericórdia de Arcos de Valdevez</t>
  </si>
  <si>
    <t xml:space="preserve">500835918</t>
  </si>
  <si>
    <t xml:space="preserve">Inforvez (1)</t>
  </si>
  <si>
    <t xml:space="preserve">Aquisição de Equipamento Informático Unidade de Convalescença</t>
  </si>
  <si>
    <t xml:space="preserve">Tempo Livre Fisical - Centro Comunitário de Desporto e Tempos Livres, CIPRL</t>
  </si>
  <si>
    <t xml:space="preserve">505197200</t>
  </si>
  <si>
    <t xml:space="preserve">Sincelo (1)</t>
  </si>
  <si>
    <t xml:space="preserve">AQUISIÇÃO DE PACOTE DE SOFTWARE E SÉRIES DE PACOTES DE SOFWARE PARA GESTÃO DE INSTALAÇÕES</t>
  </si>
  <si>
    <t xml:space="preserve">Associação Fibrenamics - Instituto de Inovação Em Materiais Fibrosos e Compósitos</t>
  </si>
  <si>
    <t xml:space="preserve">516549952</t>
  </si>
  <si>
    <t xml:space="preserve">Mercatura Tecnologias de Informação LDA (1)</t>
  </si>
  <si>
    <t xml:space="preserve">2026-07-19</t>
  </si>
  <si>
    <t xml:space="preserve">Aquisição de software de gestão de projetos financiados</t>
  </si>
  <si>
    <t xml:space="preserve">Agrupamento de Escolas Rosa Ramalho, Barcelos</t>
  </si>
  <si>
    <t xml:space="preserve">600078132</t>
  </si>
  <si>
    <t xml:space="preserve">ATL Minho, Unipessoal, Lda (1)</t>
  </si>
  <si>
    <t xml:space="preserve">AQUISIÇÃO DE SOFTWARE DE ANTIVIRUS</t>
  </si>
  <si>
    <t xml:space="preserve">Agrupamento de Escolas de Braga Oeste</t>
  </si>
  <si>
    <t xml:space="preserve">600078310</t>
  </si>
  <si>
    <t xml:space="preserve">Amplitude Portatil, Unip. Lda (1)</t>
  </si>
  <si>
    <t xml:space="preserve">EPRALIMA - Escola Profissional do Alto Lima, CIPRL</t>
  </si>
  <si>
    <t xml:space="preserve">504404830</t>
  </si>
  <si>
    <t xml:space="preserve">HOVO Comunicativo, Lda (1)</t>
  </si>
  <si>
    <t xml:space="preserve">Prestação de Serviços de Comunicação, Web e Multimédia </t>
  </si>
  <si>
    <t xml:space="preserve">Santa Casa da Misericórdia de Monção</t>
  </si>
  <si>
    <t xml:space="preserve">501330925</t>
  </si>
  <si>
    <t xml:space="preserve">Minhomática – Formação Profissional e Informática, Lda. (1)</t>
  </si>
  <si>
    <t xml:space="preserve">2026-07-02</t>
  </si>
  <si>
    <t xml:space="preserve">Aquisição de Material Informático</t>
  </si>
  <si>
    <t xml:space="preserve">Agrupamento de Escolas do Viso, Porto</t>
  </si>
  <si>
    <t xml:space="preserve">600079090</t>
  </si>
  <si>
    <t xml:space="preserve">Inovar (1)</t>
  </si>
  <si>
    <t xml:space="preserve">LICENCIAMENTO DE SOFTWARE</t>
  </si>
  <si>
    <t xml:space="preserve">APPACDM de Viana do Castelo - Associação Portuguesa de Pais e Amigos do Cidadão Deficiente Mental</t>
  </si>
  <si>
    <t xml:space="preserve">504646885</t>
  </si>
  <si>
    <t xml:space="preserve">Vitor Manuel Amorim Gonçalves (Repara Pc Avv) (1)</t>
  </si>
  <si>
    <t xml:space="preserve">Aquisição de equipamento informático para o CACI de Ponte da Barca, no âmbito do Aviso n.º 16/C03-i01/2025</t>
  </si>
  <si>
    <t xml:space="preserve">Associação Comercial e Industrial do Concelho de Esposende</t>
  </si>
  <si>
    <t xml:space="preserve">503455580</t>
  </si>
  <si>
    <t xml:space="preserve">Paulo Alexandre dos Reis Martins (1)</t>
  </si>
  <si>
    <t xml:space="preserve">2026-04-14</t>
  </si>
  <si>
    <t xml:space="preserve">Pretende-se o fornecimento de serviços de informática especializados, designadamente: na gestão do sistema de relacionam</t>
  </si>
  <si>
    <t xml:space="preserve">Agrupamento de Escolas Gil Vicente, Guimarães</t>
  </si>
  <si>
    <t xml:space="preserve">600074161</t>
  </si>
  <si>
    <t xml:space="preserve">Asnet Unipessoal, Lda (1)</t>
  </si>
  <si>
    <t xml:space="preserve">2026-03-27</t>
  </si>
  <si>
    <t xml:space="preserve">Aquisição e Contratação de Serviços de Suporte e Manutenção Informática</t>
  </si>
  <si>
    <t xml:space="preserve">Centro Social e Paroquial Divino Salvador</t>
  </si>
  <si>
    <t xml:space="preserve">502513306</t>
  </si>
  <si>
    <t xml:space="preserve">MICROBASTO- Informática e Telecomunicações, LDA (1)</t>
  </si>
  <si>
    <t xml:space="preserve">2026-03-12</t>
  </si>
  <si>
    <t xml:space="preserve">AQUISIÇÃO DE EQUIPAMENTO INFORMÁTICO E ELETRODOMÉSTICOS PARA APETRECHAMENTO DAS INSTALAÇÕES DA ERPI</t>
  </si>
  <si>
    <t xml:space="preserve">União das Freguesias de Nogueira, Fraião e Lamaçães</t>
  </si>
  <si>
    <t xml:space="preserve">510838260</t>
  </si>
  <si>
    <t xml:space="preserve">Frenétikódigo – Software, Lda (1)</t>
  </si>
  <si>
    <t xml:space="preserve">Licença de software de gestão autárquica da União das freguesias de Nogueira, Fraião e Lamaçães</t>
  </si>
  <si>
    <t xml:space="preserve">Agrupamento de Escolas de Mosteiro e Cávado, Braga</t>
  </si>
  <si>
    <t xml:space="preserve">600077055</t>
  </si>
  <si>
    <t xml:space="preserve">Asnet (1)</t>
  </si>
  <si>
    <t xml:space="preserve">02/AEMC/2026 Serviços de Assistência Informática</t>
  </si>
  <si>
    <t xml:space="preserve">Agrupamento de Escolas de Paredes de Coura</t>
  </si>
  <si>
    <t xml:space="preserve">600070093</t>
  </si>
  <si>
    <t xml:space="preserve">Intuitivo Unipessoal Lda (1)</t>
  </si>
  <si>
    <t xml:space="preserve">Locação de Software</t>
  </si>
  <si>
    <t xml:space="preserve">CASTELFORM - Formação e Consultoria, L.da</t>
  </si>
  <si>
    <t xml:space="preserve">506928209</t>
  </si>
  <si>
    <t xml:space="preserve">Mestreclique - Sistema de Informação, Lda (1)</t>
  </si>
  <si>
    <t xml:space="preserve">2025-11-13</t>
  </si>
  <si>
    <t xml:space="preserve">Aquisição de serviços de Manutenção à Plataforma de Gestão da Formação</t>
  </si>
  <si>
    <t xml:space="preserve">Centro Social da Paróquia de Souto</t>
  </si>
  <si>
    <t xml:space="preserve">502380438</t>
  </si>
  <si>
    <t xml:space="preserve">Elaboração do Projeto de Arquitetura, Projetos de Especialidades e Projeto de Execução, para a construção de edifício de</t>
  </si>
  <si>
    <t xml:space="preserve">Casa do Povo de Alvito</t>
  </si>
  <si>
    <t xml:space="preserve">500934177</t>
  </si>
  <si>
    <t xml:space="preserve">Teorema Vertical Unipessoal Lda (1)</t>
  </si>
  <si>
    <t xml:space="preserve">2025-09-25</t>
  </si>
  <si>
    <t xml:space="preserve">Fiscalização e Coordenação de Segurança e Saúde da empreitada de construção do complexo de Habitação Colaborativa e Comu</t>
  </si>
  <si>
    <t xml:space="preserve">ACARF - Associação Social Cultural Artística e Recreativa de Forjães</t>
  </si>
  <si>
    <t xml:space="preserve">501524614</t>
  </si>
  <si>
    <t xml:space="preserve">Projeto de Arquitetura, Projetos de Especialidades e Projeto de Execução, para a Alteração e Ampliação do antigo Jardim </t>
  </si>
  <si>
    <t xml:space="preserve">APDL - Administração dos Portos do Douro, Leixões e Viana do Castelo, S. A.</t>
  </si>
  <si>
    <t xml:space="preserve">501449752</t>
  </si>
  <si>
    <t xml:space="preserve">Pórtico-Arquitetura e Engenharia, Ldª (1)</t>
  </si>
  <si>
    <t xml:space="preserve">2025-09-10</t>
  </si>
  <si>
    <t xml:space="preserve">Aquisição de Serviços de Fiscalização e CSO para a Empreitada de Alteração do Sistema Cobertura e Beneficiação do Armazé</t>
  </si>
  <si>
    <t xml:space="preserve">Centro Social da Paróquia de Gualtar</t>
  </si>
  <si>
    <t xml:space="preserve">502217502</t>
  </si>
  <si>
    <t xml:space="preserve">LUÍS CORREIA BARBOSA - ENGENHARIA, UNIPESSOAL LDA (1)</t>
  </si>
  <si>
    <t xml:space="preserve">2025-08-08</t>
  </si>
  <si>
    <t xml:space="preserve">Aquisição de Serviços de Fiscalização e Coordenação e Segurança em Obra para a Empreitada de Remodelação e Ampliação do </t>
  </si>
  <si>
    <t xml:space="preserve">Freguesia de Caldelas</t>
  </si>
  <si>
    <t xml:space="preserve">507186265</t>
  </si>
  <si>
    <t xml:space="preserve">Alcepi, Lda (1)</t>
  </si>
  <si>
    <t xml:space="preserve">2025-08-01</t>
  </si>
  <si>
    <t xml:space="preserve">Prestação de Serviços de elaboração de Projeto de Execução para a Requalificação dos Pavimentos da Avenida dos Bombeiros</t>
  </si>
  <si>
    <t xml:space="preserve">Associação CCG / ZGDV - Centro de Computação Gráfica</t>
  </si>
  <si>
    <t xml:space="preserve">503092584</t>
  </si>
  <si>
    <t xml:space="preserve">MIGUEL MELO ARQUITETURA LDA (1)</t>
  </si>
  <si>
    <t xml:space="preserve">2025-07-29</t>
  </si>
  <si>
    <t xml:space="preserve">Prestação de serviços para elaboração de Projeto de licenciamento de arquitetura referente à legalização do edifício do </t>
  </si>
  <si>
    <t xml:space="preserve">Freguesia de Ruilhe</t>
  </si>
  <si>
    <t xml:space="preserve">507021789</t>
  </si>
  <si>
    <t xml:space="preserve">2025-07-25</t>
  </si>
  <si>
    <t xml:space="preserve">Serviços de elaboração do projeto de execução para alargamento e requalificação do cemitério de Ruílhe</t>
  </si>
  <si>
    <t xml:space="preserve">Freguesia de Candoso (São Martinho)</t>
  </si>
  <si>
    <t xml:space="preserve">507853024</t>
  </si>
  <si>
    <t xml:space="preserve">Paulo Ricardo &amp; João Tiago - Arquitectos, Lda. (1)</t>
  </si>
  <si>
    <t xml:space="preserve">2025-07-20</t>
  </si>
  <si>
    <t xml:space="preserve">Projeto da via alternativa à curva do Soeiro. Constituído por trabalhos iniciais e preparatórios, estudo prévio, imagens</t>
  </si>
  <si>
    <t xml:space="preserve">Associação da Creche de Braga</t>
  </si>
  <si>
    <t xml:space="preserve">500875278</t>
  </si>
  <si>
    <t xml:space="preserve">MOOVE, ARQUITETOS, LDA (1)</t>
  </si>
  <si>
    <t xml:space="preserve">2025-07-17</t>
  </si>
  <si>
    <t xml:space="preserve">Serviços de elaboração de projeto de Execução para a remodelação parcial interior de edifício sito na Rua do Raio</t>
  </si>
  <si>
    <t xml:space="preserve">União das Freguesias de Real, Dume e Semelhe</t>
  </si>
  <si>
    <t xml:space="preserve">510839118</t>
  </si>
  <si>
    <t xml:space="preserve">Filipe Machado (1)</t>
  </si>
  <si>
    <t xml:space="preserve">2025-07-16</t>
  </si>
  <si>
    <t xml:space="preserve">Desenvolvimento de projectos de arquitectura e especialidades de engenharia, destinados ao projeto para a construção do </t>
  </si>
  <si>
    <t xml:space="preserve">Docapesca - Portos e Lotas, S. A.</t>
  </si>
  <si>
    <t xml:space="preserve">500086826</t>
  </si>
  <si>
    <t xml:space="preserve">DEXTROSE, LTD (1)</t>
  </si>
  <si>
    <t xml:space="preserve">Estudo de soluções padronizadas a desenvolver em projeto, para cada tipo de necessidade de produção de gelo dos Portos d</t>
  </si>
  <si>
    <t xml:space="preserve">União das Freguesias de Barcelos, Vila Boa e Vila Frescaínha (São Martinho e São Pedro)</t>
  </si>
  <si>
    <t xml:space="preserve">510834922</t>
  </si>
  <si>
    <t xml:space="preserve">Nível Índice - Construção e Engenharia, Lda. (1)</t>
  </si>
  <si>
    <t xml:space="preserve">2025-07-09</t>
  </si>
  <si>
    <t xml:space="preserve">Aquisição de serviços para elaboração de projeto de execução de repavimentação da Rua Nova do Espiríto Santo, em Vila Bo</t>
  </si>
  <si>
    <t xml:space="preserve">Instituto da Habitação e da Reabilitação Urbana, I. P.</t>
  </si>
  <si>
    <t xml:space="preserve">501460888</t>
  </si>
  <si>
    <t xml:space="preserve">Guimarães &amp; Couceiro | Soluções de Engenharia e Manutenção (3); INELSA - Instalações Eletricas e Sanitárias, Lda (1)</t>
  </si>
  <si>
    <t xml:space="preserve">2025-06-23</t>
  </si>
  <si>
    <t xml:space="preserve">PC.160.2025.0000220 - Reformulação, Rede Elétrica, telec. e Trab. de Construção Civil em 6 Frações Não Habitac Bloco 1 d</t>
  </si>
  <si>
    <t xml:space="preserve">União das Freguesias de Silveiros e Rio Covo (Santa Eulália)</t>
  </si>
  <si>
    <t xml:space="preserve">510840221</t>
  </si>
  <si>
    <t xml:space="preserve">ICONIC CODE, Eng arq, Lda (1)</t>
  </si>
  <si>
    <t xml:space="preserve">Aquisição de serviços para elaboração de projetos – Silveiros e Rio Côvo (Santa Eulália)</t>
  </si>
  <si>
    <t xml:space="preserve">Mais Mesão Frio - Cooperativa para a Solidariedade Social, Educação e Cultura, C. R. L.</t>
  </si>
  <si>
    <t xml:space="preserve">517348608</t>
  </si>
  <si>
    <t xml:space="preserve">TOP HL – Estudos Topográficos, Unipessoal Lda, (1)</t>
  </si>
  <si>
    <t xml:space="preserve">2025-05-27</t>
  </si>
  <si>
    <t xml:space="preserve">Revisão ao Projeto de execução da empreitada para realização de obra de alteração e ampliação de Edifício existente dest</t>
  </si>
  <si>
    <t xml:space="preserve">Centro Pastoral D.antónio Bento Martins Júnior</t>
  </si>
  <si>
    <t xml:space="preserve">502274697</t>
  </si>
  <si>
    <t xml:space="preserve">GEP ? A. Matos Ferreira Unipessoal, Lda. (1)</t>
  </si>
  <si>
    <t xml:space="preserve">Aquisição de serviços de arquitetura, engenharia e fiscalização, para conclusão de projetos incompletos e prestação de a</t>
  </si>
  <si>
    <t xml:space="preserve">União das Freguesias de Merelim (São Paio), Panoias e Parada de Tibães</t>
  </si>
  <si>
    <t xml:space="preserve">510837905</t>
  </si>
  <si>
    <t xml:space="preserve">Quadrante de Sabedoria, Lda. (1)</t>
  </si>
  <si>
    <t xml:space="preserve">Prestação de Serviços de Projeto de Arquitetura e Especialidades para a criação de Casa Mortuária em Merelim S. Paio</t>
  </si>
  <si>
    <t xml:space="preserve">Junta de Agricultores da Levada do Meloal</t>
  </si>
  <si>
    <t xml:space="preserve">902201930</t>
  </si>
  <si>
    <t xml:space="preserve">TEG CONSULTORES DE ENGENHARIA LDA (1)</t>
  </si>
  <si>
    <t xml:space="preserve">2025-05-02</t>
  </si>
  <si>
    <t xml:space="preserve">O procedimento consiste em uma adenda ao do«contrato inicial de fiscalização e acompanhamento, prorrogando os trabalhos </t>
  </si>
  <si>
    <t xml:space="preserve">Seminário Concilar de Braga</t>
  </si>
  <si>
    <t xml:space="preserve">500820511</t>
  </si>
  <si>
    <t xml:space="preserve">INOVAR+AZ- Sistemas de Informação, Lda (1)</t>
  </si>
  <si>
    <t xml:space="preserve">Considerando que, nos termos da legislação em vigor, é necessário proceder à contratação de aquisição de serviços de atu</t>
  </si>
  <si>
    <t xml:space="preserve">Casa de Sarmento - Centro de Estudos do Património</t>
  </si>
  <si>
    <t xml:space="preserve">902120743</t>
  </si>
  <si>
    <t xml:space="preserve">RFS Telecomunicações, Lda. (1)</t>
  </si>
  <si>
    <t xml:space="preserve">Aquisição de sistema de digitalização</t>
  </si>
  <si>
    <t xml:space="preserve">Associação Comercial e Industrial de Vila Nova de Famalicão</t>
  </si>
  <si>
    <t xml:space="preserve">500989087</t>
  </si>
  <si>
    <t xml:space="preserve">CTT EXPRESSO - SERVIÇOS POSTAIS E LOGISTICA, S.A. (1)</t>
  </si>
  <si>
    <t xml:space="preserve">2025-09-22</t>
  </si>
  <si>
    <t xml:space="preserve">Sistema logístico de suporte para a rede do marketplace "Comércio da Vila" - Bairro Comercial Digital de Famalicão</t>
  </si>
  <si>
    <t xml:space="preserve">Escola Profissional D. Afonso Henriques, Unipessoal, L.da</t>
  </si>
  <si>
    <t xml:space="preserve">516508423</t>
  </si>
  <si>
    <t xml:space="preserve">CODEVISION SA (1)</t>
  </si>
  <si>
    <t xml:space="preserve">2025-09-18</t>
  </si>
  <si>
    <t xml:space="preserve">Serviços de suporte, apoio e manutenção do programa de gestão escolar e-Schooling, na Escola Profissional D. Afonso Henr</t>
  </si>
  <si>
    <t xml:space="preserve">CERCIGUI - Cooperativa de Educação e Reabilitação de Cidadãos Inadaptados do Concelho de Guimarães, CRL</t>
  </si>
  <si>
    <t xml:space="preserve">500636834</t>
  </si>
  <si>
    <t xml:space="preserve">Vimaponto Equipam.e Serviços Inform.lda. (1)</t>
  </si>
  <si>
    <t xml:space="preserve">CPR 03/2025 – FORNECIMENTO DE EQUIPAMENTO E
MATERIAL INFORMÁTICO E ASSISTÊNCIA TÉCNICA AO PARQUE INFORMÁTICO</t>
  </si>
  <si>
    <t xml:space="preserve">ATAHCA - Associação de Desenvolvimento das Terras Altas do Homem Cávado e Ave</t>
  </si>
  <si>
    <t xml:space="preserve">503408077</t>
  </si>
  <si>
    <t xml:space="preserve">José Luís Proença Alves (1)</t>
  </si>
  <si>
    <t xml:space="preserve">2025-09-01</t>
  </si>
  <si>
    <t xml:space="preserve">Gestão de rede informática, servidores e postos de trabalho, atualizações e formação interna</t>
  </si>
  <si>
    <t xml:space="preserve">Freguesia de Paderne</t>
  </si>
  <si>
    <t xml:space="preserve">506947971</t>
  </si>
  <si>
    <t xml:space="preserve">SEBASTIÃO DA ROCHA BARBOSA, LDA (1)</t>
  </si>
  <si>
    <t xml:space="preserve">2025-08-26</t>
  </si>
  <si>
    <t xml:space="preserve">Beneficiação do Caminho Portal Cerdeira-Pinheiro e Caminho do Carvalho-Penelas</t>
  </si>
  <si>
    <t xml:space="preserve">GTI Portugal - Formação Profissional, S. A.</t>
  </si>
  <si>
    <t xml:space="preserve">514482290</t>
  </si>
  <si>
    <t xml:space="preserve">Divultec-Serviços de Informática, Lda. (1)</t>
  </si>
  <si>
    <t xml:space="preserve">2025-08-13</t>
  </si>
  <si>
    <t xml:space="preserve">pacote de software de segurança</t>
  </si>
  <si>
    <t xml:space="preserve">Agrupamento de Escolas de Trigal de Santa Maria, Braga</t>
  </si>
  <si>
    <t xml:space="preserve">600078329</t>
  </si>
  <si>
    <t xml:space="preserve">ASNET UNIPESSOAL, LDA. (1)</t>
  </si>
  <si>
    <t xml:space="preserve">2025-07-22</t>
  </si>
  <si>
    <t xml:space="preserve">Aquisição De Equipamentos Informáticos – Kits Digitais.</t>
  </si>
  <si>
    <t xml:space="preserve">Associação BIOPOLIS</t>
  </si>
  <si>
    <t xml:space="preserve">516033727</t>
  </si>
  <si>
    <t xml:space="preserve">BRANDIT DIGITAL MEDIA SERVICES, LDA. (1)</t>
  </si>
  <si>
    <t xml:space="preserve">2025-07-08</t>
  </si>
  <si>
    <t xml:space="preserve">Aquisição de serviços para o desenvolvimento de um website para a marca Arte e Ciência para apresentação dos respetivos </t>
  </si>
  <si>
    <t xml:space="preserve">Agrupamento de Escolas de S. Bento, Vízela</t>
  </si>
  <si>
    <t xml:space="preserve">600082024</t>
  </si>
  <si>
    <t xml:space="preserve">2025-06-06</t>
  </si>
  <si>
    <t xml:space="preserve">Fornecimento de Servidor e demais equipamentos</t>
  </si>
  <si>
    <t xml:space="preserve">União das Freguesias de Moledo e Cristelo</t>
  </si>
  <si>
    <t xml:space="preserve">510838022</t>
  </si>
  <si>
    <t xml:space="preserve">Datamind (1)</t>
  </si>
  <si>
    <t xml:space="preserve">2025-06-05</t>
  </si>
  <si>
    <t xml:space="preserve">Prestação de serviços de consultoria contabilística, apoio à contratação pública e software de gestão autárquica</t>
  </si>
  <si>
    <t xml:space="preserve">Agrupamento de Escolas de Real, Braga</t>
  </si>
  <si>
    <t xml:space="preserve">600077152</t>
  </si>
  <si>
    <t xml:space="preserve">Sigadata Disruptive Cat Lda (1)</t>
  </si>
  <si>
    <t xml:space="preserve">2025-06-04</t>
  </si>
  <si>
    <t xml:space="preserve">Aquisição De Equipamentos Informáticos – Kits Digitais</t>
  </si>
  <si>
    <t xml:space="preserve">Agrupamento de Escolas da Abelheira, Viana do Castelo</t>
  </si>
  <si>
    <t xml:space="preserve">600073688</t>
  </si>
  <si>
    <t xml:space="preserve">InfNetWork de Michel Alexandre Rodrigues Alves (1)</t>
  </si>
  <si>
    <t xml:space="preserve">2025-06-03</t>
  </si>
  <si>
    <t xml:space="preserve">Prestação de Serviços de Assistência Técnica E BackUps nos Estabelecimentos de Ensino do Agrupamento de Escolas da Abelh</t>
  </si>
  <si>
    <t xml:space="preserve">Objeto</t>
  </si>
  <si>
    <t xml:space="preserve">Preço (€)</t>
  </si>
  <si>
    <t xml:space="preserve">Procedimento</t>
  </si>
  <si>
    <t xml:space="preserve">Fornecedor</t>
  </si>
  <si>
    <t xml:space="preserve">Categorias</t>
  </si>
  <si>
    <t xml:space="preserve">Link BASE</t>
  </si>
  <si>
    <t xml:space="preserve">Concurso público</t>
  </si>
  <si>
    <t xml:space="preserve">Cunha Bastos, Lda</t>
  </si>
  <si>
    <t xml:space="preserve">eletricidade</t>
  </si>
  <si>
    <t xml:space="preserve">abrir</t>
  </si>
  <si>
    <t xml:space="preserve">Prestação de serviços, na modalidade de avença, de técnico de desenvolvimento de software no projeto municipal Cidades I</t>
  </si>
  <si>
    <t xml:space="preserve">Consulta Prévia</t>
  </si>
  <si>
    <t xml:space="preserve">Filipe Miguel Alves Sousa</t>
  </si>
  <si>
    <t xml:space="preserve">software_ti</t>
  </si>
  <si>
    <t xml:space="preserve">LUÍSA CRISTINA LAMEIRAS REBELO DA ROCHA</t>
  </si>
  <si>
    <t xml:space="preserve">Aquisição de Software Informático ScOG - Software de Contraordenações Gerais</t>
  </si>
  <si>
    <t xml:space="preserve">Ajuste Direto Regime Geral</t>
  </si>
  <si>
    <t xml:space="preserve">ANO SOFTWARE - SISTEMAS DE INFORMAÇÃO, LDA</t>
  </si>
  <si>
    <t xml:space="preserve">Infraestruturas elétricas destinadas ao Vídeo Arbitro (VAR) e Transmissões Televisivas, para o Estádio Municipal</t>
  </si>
  <si>
    <t xml:space="preserve">Omninstal - Electricidade, S.A.</t>
  </si>
  <si>
    <t xml:space="preserve">Preventech Sistemas de Informação, Ldª</t>
  </si>
  <si>
    <t xml:space="preserve">2026-09-18</t>
  </si>
  <si>
    <t xml:space="preserve">Serviços de reparação de sistemas elétricos- Quadro de comando e elétrico do túnel da Rodovia</t>
  </si>
  <si>
    <t xml:space="preserve">ZV Engenharia e Automatismos, Lda.</t>
  </si>
  <si>
    <t xml:space="preserve">Aquisição de material elétrico em regime de fornecimento contínuo</t>
  </si>
  <si>
    <t xml:space="preserve">Bricantel - Comércio de Material Eléctrico de Bragança, Lda.</t>
  </si>
  <si>
    <t xml:space="preserve">WATTLAMP Unipessoal Lda</t>
  </si>
  <si>
    <t xml:space="preserve">CPR/105/26/DCP - Aquisição de serviços para a produção audiovisual e multimédia da instalação artística de vídeomapping </t>
  </si>
  <si>
    <t xml:space="preserve">Immersivus, LdA</t>
  </si>
  <si>
    <t xml:space="preserve">ITM GLOBAL PORTUGAL, Lda</t>
  </si>
  <si>
    <t xml:space="preserve">eletricidade, seguranca_incendio</t>
  </si>
  <si>
    <t xml:space="preserve">Aquisição de serviços de renovação da plataforma de gestão de contraordenações gIC Suite.</t>
  </si>
  <si>
    <t xml:space="preserve">Sysnovare Innovative Solutions, S.A.</t>
  </si>
  <si>
    <t xml:space="preserve">Aquisição de serviços de conceção de uma plataforma digital de hackathons e produção e organização do evento Hack4Guimar</t>
  </si>
  <si>
    <t xml:space="preserve">TAIKAI S.A.</t>
  </si>
  <si>
    <t xml:space="preserve">Aquisição de serviços de Coordenação de Segurança e Saúde para a fase de obra "Aquisição de unidades de produção para au</t>
  </si>
  <si>
    <t xml:space="preserve">Sexto Sentido - Consultadoria em Gestão, Lda</t>
  </si>
  <si>
    <t xml:space="preserve">fotovoltaico</t>
  </si>
  <si>
    <t xml:space="preserve">Aquisição de serviços para execução de circuito de ligação entre Datacenter (DC) e o Disaster Recovery (DR).</t>
  </si>
  <si>
    <t xml:space="preserve">RT Telecomunicações Lda</t>
  </si>
  <si>
    <t xml:space="preserve">MEO - Serviços de Comunicações e Multimédia, S.A.</t>
  </si>
  <si>
    <t xml:space="preserve">2026-07-29</t>
  </si>
  <si>
    <t xml:space="preserve">Aquisição de Serviços de Manutenção Preventiva e Assistência Técnica com Peças para as Instalações e Equipamentos dos Si</t>
  </si>
  <si>
    <t xml:space="preserve">Segurvez, Lda.</t>
  </si>
  <si>
    <t xml:space="preserve">seguranca_incendio</t>
  </si>
  <si>
    <t xml:space="preserve">Aquisição de Upgrade da Storage do Datacenter - ULSAM</t>
  </si>
  <si>
    <t xml:space="preserve">GONKSYS, S.A.</t>
  </si>
  <si>
    <t xml:space="preserve">2026-06-05</t>
  </si>
  <si>
    <t xml:space="preserve">Honorários aditamento fiscalização e coordenação segurança Empreitada Requalificação Bloco Partos - CS-7100-AJD-MAT-V-26</t>
  </si>
  <si>
    <t xml:space="preserve">Pórtico-Arquitetura e Engenharia, Ldª</t>
  </si>
  <si>
    <t xml:space="preserve">projeto</t>
  </si>
  <si>
    <t xml:space="preserve">Concurso Público com publicação de anúncio no Jornal Oficial da União Europeia | JOUE para aquisição de Licenciamento de</t>
  </si>
  <si>
    <t xml:space="preserve">CRAYON SOFTWARE LICENSING, UNIPESSOAL LDA</t>
  </si>
  <si>
    <t xml:space="preserve">IMD - Consultoria e Inovação, Lda</t>
  </si>
  <si>
    <t xml:space="preserve">Aquisição de serviços para fornecimento e instalação de sistema de controlo de acessos 
na sala de comando das Ressonânc</t>
  </si>
  <si>
    <t xml:space="preserve">Escala Braga - Sociedade Gestora do Edifício, S.A</t>
  </si>
  <si>
    <t xml:space="preserve">Aquisição de serviços para execução de trabalhos variados no piso 0C do Serviço de 
Radioterapia do Hospital de Braga, i</t>
  </si>
  <si>
    <t xml:space="preserve">Escala Braga Soc. Gest. do Estabelecimento, S.A</t>
  </si>
  <si>
    <t xml:space="preserve">2026-09-07</t>
  </si>
  <si>
    <t xml:space="preserve">Aquisição de serviços de assistência técnica e manutenção do sistema de informação Hexagon EAM – Ano 2026</t>
  </si>
  <si>
    <t xml:space="preserve">NLS - New Link Solutions - Consultoria e Engenharia, SA</t>
  </si>
  <si>
    <t xml:space="preserve">2026-09-03</t>
  </si>
  <si>
    <t xml:space="preserve">Manutenção de Software (Wiremaze / WireRecruit).</t>
  </si>
  <si>
    <t xml:space="preserve">Wire Maze - Sistemas Informação, Sa</t>
  </si>
  <si>
    <t xml:space="preserve">Scansys</t>
  </si>
  <si>
    <t xml:space="preserve">Criação, manutenção, assistência e atualização de várias plataformas online municipais</t>
  </si>
  <si>
    <t xml:space="preserve">Frenetikódigo - Software, Lda.</t>
  </si>
  <si>
    <t xml:space="preserve">Aquisição e instalação de grupo gerador e quadro de desenfumagem.</t>
  </si>
  <si>
    <t xml:space="preserve">Apeag - Instalações Eléctricas, Lda</t>
  </si>
  <si>
    <t xml:space="preserve">Aquisição de serviços para execução das infraestruturas elétricas de apoio a todo o sistema de desenfumagem bem como col</t>
  </si>
  <si>
    <t xml:space="preserve">Trovela Luz</t>
  </si>
  <si>
    <t xml:space="preserve">Aquisição de serviços de backup de dados externos.</t>
  </si>
  <si>
    <t xml:space="preserve">Visualforma - Tecnologias de Informação, S.A.</t>
  </si>
  <si>
    <t xml:space="preserve">Contratação excluída II</t>
  </si>
  <si>
    <t xml:space="preserve">CLINICAL MICROBIOMICS A/S,</t>
  </si>
  <si>
    <t xml:space="preserve">Equipamento científico de monitorização ambiental e respetivos acessórios especializados: registador de dados (data logg</t>
  </si>
  <si>
    <t xml:space="preserve">EMS sistemas de monitorizacion Medio Ambiental, S.L.U.</t>
  </si>
  <si>
    <t xml:space="preserve">Aquisição de serviços de manutenção do sistema de controlo de acessos aos Campi e parques de estacionamento condicionado</t>
  </si>
  <si>
    <t xml:space="preserve">UP Motion, Lda</t>
  </si>
  <si>
    <t xml:space="preserve">PROCEDIMENTO PARA FORMAÇÃO DE CONTRATO DE LOCAÇÃO DE SOFTWARE NECESSÁRIO AO DESENVOLVIMENTO DE ATIVIDADES DE I&amp;D –DL60-0</t>
  </si>
  <si>
    <t xml:space="preserve">Grão D&amp;apos (+1)</t>
  </si>
  <si>
    <t xml:space="preserve">2026-08-26</t>
  </si>
  <si>
    <t xml:space="preserve">Aquisição de serviços de automatização / RPA com introdução de IA na plataforma de gestão documental - docUM</t>
  </si>
  <si>
    <t xml:space="preserve">Link Consulting, Tecnologias de Informação, SA</t>
  </si>
  <si>
    <t xml:space="preserve">PORMIN - TRABALHOS DE ARQUITECTURA E ENGENHARIA, LDA</t>
  </si>
  <si>
    <t xml:space="preserve">AQUISIÇÃO DE SOLUÇÃO DE SEGURANÇA DO MUNICIPIO DE VIANA DO CASTELO (FIREWALL ANTIVIRUS E GESTÃO CENTRALIZADA)</t>
  </si>
  <si>
    <t xml:space="preserve">Digiheart, Lda</t>
  </si>
  <si>
    <t xml:space="preserve">Aquisição de Serviços de Revisão do Projeto de Execução</t>
  </si>
  <si>
    <t xml:space="preserve">SOMA PIRAMIDAL - GABINETE DE PROJETOS UNIPESSOAL, LDA.</t>
  </si>
  <si>
    <t xml:space="preserve">Prestação de Serviços para Elaboração dos Projetos de Eletricidade e Itur do Plano de Pormenor Litoral Norte</t>
  </si>
  <si>
    <t xml:space="preserve">CÉSAR MANUEL PEIXOTO CASTRO</t>
  </si>
  <si>
    <t xml:space="preserve">eletricidade, projeto</t>
  </si>
  <si>
    <t xml:space="preserve">PROJETO DE EXECUÇÃO DE AMPLIAÇÃO DE REDES DE SANEAMENTO </t>
  </si>
  <si>
    <t xml:space="preserve">Procivil - Consultora Técnicos de Engenharia, Lda.</t>
  </si>
  <si>
    <t xml:space="preserve">JRTORRES - Consultores de Engenharia, Lda.</t>
  </si>
  <si>
    <t xml:space="preserve">Software de Gestão de Fornecedores da Câmara Municipal de Barcelos</t>
  </si>
  <si>
    <t xml:space="preserve">Signed Web Solutions, Lda.</t>
  </si>
  <si>
    <t xml:space="preserve">2026-08-05</t>
  </si>
  <si>
    <t xml:space="preserve">CP30/2026 - “Construção do Complexo das Piscinas Municipais – Galegos Stª Maria” - Elaboração dos Projetos de Especialid</t>
  </si>
  <si>
    <t xml:space="preserve">Certigy, Arquitetura e Engenharia Lda.</t>
  </si>
  <si>
    <t xml:space="preserve">AD105/2026 Serviço de analítica e inteligência de dados</t>
  </si>
  <si>
    <t xml:space="preserve">Associação Data CoLab</t>
  </si>
  <si>
    <t xml:space="preserve">2026-07-25</t>
  </si>
  <si>
    <t xml:space="preserve">CPI 12/2026 - Sistema Integrado de Cibersegurança Avançado</t>
  </si>
  <si>
    <t xml:space="preserve">MATERIAL PARA APOIOS A EVENTOS – AQUISIÇÃO DE QUADROS ELÉTRICOS DE BAIXADA</t>
  </si>
  <si>
    <t xml:space="preserve">JOSÉ FERNANDO MIRANDA DA COSTA, LDA</t>
  </si>
  <si>
    <t xml:space="preserve">2026-07-13</t>
  </si>
  <si>
    <t xml:space="preserve">Aquisição de equipamentos Informáticos</t>
  </si>
  <si>
    <t xml:space="preserve">Ancornet</t>
  </si>
  <si>
    <t xml:space="preserve">FORNECIMENTO E INSTALAÇÃO DE LUMINÁRIAS E EXECUÇÃO DE TRABALHOS DE CONSTRUÇÃO CIVIL PARA REQUALIFICAÇÃO DA REDE ELÉTRICA</t>
  </si>
  <si>
    <t xml:space="preserve">Caminha Habita - Investimentos Imobiliários, Lda</t>
  </si>
  <si>
    <t xml:space="preserve"> “Plataforma Microsoft 365 – Ferramentas de Produtividade -renovação de 1 ano”</t>
  </si>
  <si>
    <t xml:space="preserve">CPCECHO, LDA</t>
  </si>
  <si>
    <t xml:space="preserve">Aquisição de Serviços de assistência técnica e manutenção – infraestrutura de virtualização de storage e backup para a U</t>
  </si>
  <si>
    <t xml:space="preserve">aquisição de licenças e serviços de software de reconhecimento de voz (invox Medical – Vocali), para a Unidade Local de </t>
  </si>
  <si>
    <t xml:space="preserve">BYME - INFORMATION TECHNOLOGY LDA</t>
  </si>
  <si>
    <t xml:space="preserve">2026-08-24</t>
  </si>
  <si>
    <t xml:space="preserve">Fornecimento e Instalação de Sistema de Gestão de Visitas (SGV), para as unidades de Santo Tirso e Famalicão, da Unidade</t>
  </si>
  <si>
    <t xml:space="preserve">Proside, SA</t>
  </si>
  <si>
    <t xml:space="preserve">Aquisição de solução avançada de segurança e proteção de postos de trabalho e servidores para os Cuidados de Saúde Primá</t>
  </si>
  <si>
    <t xml:space="preserve">ReLoad - Consultoria Informática, Unipessoal Lda.</t>
  </si>
  <si>
    <t xml:space="preserve">H2PLUS ENERGY LDA</t>
  </si>
  <si>
    <t xml:space="preserve">2026/CPre/015 - Empreitada de renovação da climatização do datacenter</t>
  </si>
  <si>
    <t xml:space="preserve">NOVOS ARES, LDA</t>
  </si>
  <si>
    <t xml:space="preserve">2026/Cpre/008- Empreitada de um sistema piloto agrivoltaico</t>
  </si>
  <si>
    <t xml:space="preserve">HT SOLUTIONS ENGENHARIA Lda</t>
  </si>
  <si>
    <t xml:space="preserve">2026-06-30</t>
  </si>
  <si>
    <t xml:space="preserve">2026/ADCM/002 - Aquisição de Servidor</t>
  </si>
  <si>
    <t xml:space="preserve">Ergontotis Lda</t>
  </si>
  <si>
    <t xml:space="preserve">2026/CPre/011 - Empreitada de reestruturação da rede cablada ESA</t>
  </si>
  <si>
    <t xml:space="preserve">Barreiros, Costa &amp; Sampaio S.A.</t>
  </si>
  <si>
    <t xml:space="preserve">JOTA96 - Projectos de Enguenharia Auditorias e Formação, Lda</t>
  </si>
  <si>
    <t xml:space="preserve">Prestação dos serviços relativos ao desenvolvimento da Plataforma Digital Territorial «Visit Celorico de Basto»</t>
  </si>
  <si>
    <t xml:space="preserve">Ricardo Jorge da Cunha Alves, Unipessoal, Lda.</t>
  </si>
  <si>
    <t xml:space="preserve">Prestação do serviço de manutenção e apoio informático aos serviços do Agrupamento de Escolas de Celorico de Basto</t>
  </si>
  <si>
    <t xml:space="preserve">CBL - Computadores de Basto, Lda</t>
  </si>
  <si>
    <t xml:space="preserve">Contratação de um recurso humano, na área da Geografia com conhecimento em Sistemas de Informação Geográfica, na modalid</t>
  </si>
  <si>
    <t xml:space="preserve">Filipe Rafael Oliveira de Sousa</t>
  </si>
  <si>
    <t xml:space="preserve">Elaboração de Projeto de Execução de Reabilitação da Escola Básica de Gandarela</t>
  </si>
  <si>
    <t xml:space="preserve">Juntos Projetamos Muito Mais Que Um Projeto Unipessoal</t>
  </si>
  <si>
    <t xml:space="preserve">Devscope, S.A.</t>
  </si>
  <si>
    <t xml:space="preserve">Protocolo VP2600537 Projecto substituição Grupo gerador</t>
  </si>
  <si>
    <t xml:space="preserve">SUCH | Serviço de Utilização Comum dos Hospitais</t>
  </si>
  <si>
    <t xml:space="preserve">Serviços de Manutenção do Software SISQUAL para o ano 2026</t>
  </si>
  <si>
    <t xml:space="preserve">Sisqual Workforce Management, Lda</t>
  </si>
  <si>
    <t xml:space="preserve">Serviços de Assistência Técnica dos Softwares da B-SIMPLE para o ano 2026</t>
  </si>
  <si>
    <t xml:space="preserve">B-Simple Sistemas de Informação,Lda.</t>
  </si>
  <si>
    <t xml:space="preserve">CLARANET II SOLUTIONS, S.A.</t>
  </si>
  <si>
    <t xml:space="preserve">Instalações Elétricas</t>
  </si>
  <si>
    <t xml:space="preserve">Nortaluga Lda.</t>
  </si>
  <si>
    <t xml:space="preserve">2026-07-24</t>
  </si>
  <si>
    <t xml:space="preserve">Prestação de serviço para a “Elaboração do Projeto de Alteração do Parque Industrial de Linhares".</t>
  </si>
  <si>
    <t xml:space="preserve">Buildspot, Lda.</t>
  </si>
  <si>
    <t xml:space="preserve">Aquisição de unidade de proteção de energia – UPS</t>
  </si>
  <si>
    <t xml:space="preserve">GAP - GUEDES, ALVES &amp; PACHECO, LDA</t>
  </si>
  <si>
    <t xml:space="preserve">2026-05-26</t>
  </si>
  <si>
    <t xml:space="preserve">Prestação de serviços para a “Elaboração do Projeto de Alteração do Loteamento da Nogueira</t>
  </si>
  <si>
    <t xml:space="preserve">Daniel Casas Valle</t>
  </si>
  <si>
    <t xml:space="preserve">EUROTUX INFORMATICA, S.A</t>
  </si>
  <si>
    <t xml:space="preserve">ALTERAÇÃO AOS PROJETOS DE ESPECIALIDADES - LEIRA - STARTUP PÓVOA - FASE 2 - REFUNCIONALIZAÇÃO DE ANTIGA CASA DOS MAGISTR</t>
  </si>
  <si>
    <t xml:space="preserve">IMO JP, LDA</t>
  </si>
  <si>
    <t xml:space="preserve">AQUISIÇÃO DE UM SERVIÇO DE DIGITALIZAÇÃO E DESCRIÇÃO ARQUIVÍSTICA - BIBLIOTECA E ARQUIVO DIGITAL DO AVE [BADA]</t>
  </si>
  <si>
    <t xml:space="preserve">Casa de Sarmento</t>
  </si>
  <si>
    <t xml:space="preserve">CONTRATAÇÃO DE UM TÉCNICO DE SISTEMA DE INFORMAÇÃO GEOGRÁFICO (SIG)</t>
  </si>
  <si>
    <t xml:space="preserve">HENRIQUE DO VALE MARTINS</t>
  </si>
  <si>
    <t xml:space="preserve">2026-06-24</t>
  </si>
  <si>
    <t xml:space="preserve">AQUISIÇÃO, INSTALAÇÃO, EQUIPAMENTOS MOBILIÁRIOS, HARDWARE E SOFTWARE PARA O FUNCIONAMENTO DO BAIRRO COMERCIAL DIGITAL DO</t>
  </si>
  <si>
    <t xml:space="preserve">NOS COMUNICAÇÕES, S.A.</t>
  </si>
  <si>
    <t xml:space="preserve">JOSE FERRAZ &amp; ASSOCIADOS - ENGENHARIA E CONSULTORIA, S.A.</t>
  </si>
  <si>
    <t xml:space="preserve">Reestruturação da rede informática e reforço de segurança</t>
  </si>
  <si>
    <t xml:space="preserve">Vimaponto - Equipamentos e Serviços Informática S.A.</t>
  </si>
  <si>
    <t xml:space="preserve">Prestação de Serviços - Elaboração de projeto de extensão da rede saneamento no Município de Amares - 1ª Fase -</t>
  </si>
  <si>
    <t xml:space="preserve">SBS - Engenharia Civil, Hidráulica e Ambiente, Lda.</t>
  </si>
  <si>
    <t xml:space="preserve">Prestação de Serviços - Elaboração de projeto para monitorização e automação da rede de abastecimento de água para contr</t>
  </si>
  <si>
    <t xml:space="preserve">XKW CONSULTING AND ENGINEERING</t>
  </si>
  <si>
    <t xml:space="preserve">projeto, software_ti</t>
  </si>
  <si>
    <t xml:space="preserve">Prestação de serviços - Elaboração do Plano de Execução Municipal</t>
  </si>
  <si>
    <t xml:space="preserve">Geoatributo - Consultadoria e Informação Para O Planeamento e Ordenamento do Território Lda</t>
  </si>
  <si>
    <t xml:space="preserve">Reload - Consultoria Informática Unipessoal, Lda</t>
  </si>
  <si>
    <t xml:space="preserve">Aquisição de Plataforma de Gestão Escolar 2026/2029</t>
  </si>
  <si>
    <t xml:space="preserve">CTT SOLUÇÕES EMPRESARIAIS, S.A. (+3)</t>
  </si>
  <si>
    <t xml:space="preserve">Renovação de licenças e aplicações em Sistemas de Informação Geográfica SIG. </t>
  </si>
  <si>
    <t xml:space="preserve">ESRI Portugal, SA</t>
  </si>
  <si>
    <t xml:space="preserve">2026-08-18</t>
  </si>
  <si>
    <t xml:space="preserve">Aquisição de Serviços - Certificação Energética das Frações do Conjunto Habitacional da Alvorada - Final de Obra / Fecho</t>
  </si>
  <si>
    <t xml:space="preserve">PAULO PEREIRA, SERVIÇOS DE ENGENHARIA CIVIL, LDA</t>
  </si>
  <si>
    <t xml:space="preserve">Aquisição de um Módulo de Interoperabilidade e implementação/integração de verticais funcionais para a futura Plataforma</t>
  </si>
  <si>
    <t xml:space="preserve">Consulta Prévia Simplificada</t>
  </si>
  <si>
    <t xml:space="preserve">Ubiwhere Lda.</t>
  </si>
  <si>
    <t xml:space="preserve">NEXUS SOLUTIONS SA</t>
  </si>
  <si>
    <t xml:space="preserve">Aquisição de licenças de software LabVIEW e Multisim exclusivo à Escola Superior de Tecnologia do IPCA</t>
  </si>
  <si>
    <t xml:space="preserve">MeasureIT, Unipessoal Lda.</t>
  </si>
  <si>
    <t xml:space="preserve">Aquisição de serviços de apoio técnico de eletrónica automação e robótica para a Escola Superior de Tecnologia do IPCA</t>
  </si>
  <si>
    <t xml:space="preserve">Pedro Peixoto Rego</t>
  </si>
  <si>
    <t xml:space="preserve">2026-05-30</t>
  </si>
  <si>
    <t xml:space="preserve">Aquisição de equipamento informático diverso e acessórios para o IPCA</t>
  </si>
  <si>
    <t xml:space="preserve">C7 Pombal, Lda</t>
  </si>
  <si>
    <t xml:space="preserve">2026-05-13</t>
  </si>
  <si>
    <t xml:space="preserve">Aquisição de serviços de Fiscalização e Coordenação de Segurança e Saúde em Obra para o IPCA</t>
  </si>
  <si>
    <t xml:space="preserve">Climacer, S.A.</t>
  </si>
  <si>
    <t xml:space="preserve">SILSAFE, LDA</t>
  </si>
  <si>
    <t xml:space="preserve">FORNECIMENTO E IMPLEMENTAÇÃO DE PLATAFORMA/PORTAL - GESTÃO DE EVENTO</t>
  </si>
  <si>
    <t xml:space="preserve">F3M Information Systems, S.A.</t>
  </si>
  <si>
    <t xml:space="preserve">Aquisição de Equipamentos de Proteção Individual (EPI) e Material para o Serviço Municipal de Proteção Civil e Corpo de </t>
  </si>
  <si>
    <t xml:space="preserve">Bricantel, Comércio de Material Electrico de Bragança, S.A.</t>
  </si>
  <si>
    <t xml:space="preserve">Tecniquitel - Soc. Equip. Tecnico, Lda</t>
  </si>
  <si>
    <t xml:space="preserve">LAURA SILVA, UNIPESSOAL, LDA</t>
  </si>
  <si>
    <t xml:space="preserve">Narciso de Carvalho &amp; Filhos, Lda</t>
  </si>
  <si>
    <t xml:space="preserve">Aquisição de Serviços de Armazenamento em Servidor Externo, no âmbito da Candidatura “Esposende e o Cávado: Valorização </t>
  </si>
  <si>
    <t xml:space="preserve">Pedro Lopes Cabral &amp; Silva - Tecnologias da Informação, Lda</t>
  </si>
  <si>
    <t xml:space="preserve">Aquisição de Serviços de Integração de Verticais na Plataforma de Gestão Urbana</t>
  </si>
  <si>
    <t xml:space="preserve">FBCPS - Business Consulting and Professional Services, Lda</t>
  </si>
  <si>
    <t xml:space="preserve">Aquisição de Verticais Para Aumento da Rede IOT do Concelho de Esposende</t>
  </si>
  <si>
    <t xml:space="preserve">Wavecom-Soluções Rádio, SA</t>
  </si>
  <si>
    <t xml:space="preserve">Aquisição de Serviços de Manutenção do Portal Institucional do Município de Esposende </t>
  </si>
  <si>
    <t xml:space="preserve">Wire Maze - Sistemas de Informação, S.A.</t>
  </si>
  <si>
    <t xml:space="preserve">Américo José da Cunha Sousa</t>
  </si>
  <si>
    <t xml:space="preserve">Aquisição de Serviços para a Revisão do Projeto de Execução do Parque Urbano de Vila Verde</t>
  </si>
  <si>
    <t xml:space="preserve">PROTERRITORIO, LDA</t>
  </si>
  <si>
    <t xml:space="preserve">Aquisição de Servidos para Instalação de uma Rede LoRaWAN  Ação Financiada pelo Projeto Transformação Digital 2.0</t>
  </si>
  <si>
    <t xml:space="preserve">Aquisição, Instalação e Integração de Verticais de Gestão Urbana Inteligente para Integração com Plataforma de Gestão Ur</t>
  </si>
  <si>
    <t xml:space="preserve">Videovigilância no Espaço Multiusos  Adega Cultural
</t>
  </si>
  <si>
    <t xml:space="preserve">Trialarmes Lda.</t>
  </si>
  <si>
    <t xml:space="preserve">Orbcom, Lda.</t>
  </si>
  <si>
    <t xml:space="preserve">Serviços de fiscalização e coordenação de segurança na obra das infraestruturas hidráulicas do prolongamento do emissári</t>
  </si>
  <si>
    <t xml:space="preserve">SMARTGOV - S I , S.A.</t>
  </si>
  <si>
    <t xml:space="preserve">Aquisição de serviços de eletricidade automóvel.</t>
  </si>
  <si>
    <t xml:space="preserve">José M. Gonçalves</t>
  </si>
  <si>
    <t xml:space="preserve">Fornecimento contínuo de peças de eletricidade auto para a frota e equipamentos da AGERE-EM</t>
  </si>
  <si>
    <t xml:space="preserve">Prestação de serviços de consultoria para elaboração de projetos de execução SUSTENTÁVEL 2030 (sistema Pitancinhos, capt</t>
  </si>
  <si>
    <t xml:space="preserve">NORAQUA, Consultores de Engenharia, Lda</t>
  </si>
  <si>
    <t xml:space="preserve">2026-08-19</t>
  </si>
  <si>
    <t xml:space="preserve">Ligação rede fibra ótica Ação Social e Micro informática</t>
  </si>
  <si>
    <t xml:space="preserve">CROSSING POINT, UNIPESSOAL LDA</t>
  </si>
  <si>
    <t xml:space="preserve">Instalação de sistema fotovoltaico</t>
  </si>
  <si>
    <t xml:space="preserve">TLCI ENERGIA, LDA.,</t>
  </si>
  <si>
    <t xml:space="preserve">Prestação de Serviços de Certificação Energética para: Pavilhão Municipal, Solar do Vinhão, Estádio Municipal e Centro E</t>
  </si>
  <si>
    <t xml:space="preserve">Infiniplus</t>
  </si>
  <si>
    <t xml:space="preserve">projeto, fotovoltaico</t>
  </si>
  <si>
    <t xml:space="preserve">2026-05-15</t>
  </si>
  <si>
    <t xml:space="preserve">Assistência e manutenção aplicações Medidata</t>
  </si>
  <si>
    <t xml:space="preserve">ESPUBLICO PORTUGAL UNIPESSOAL LDA</t>
  </si>
  <si>
    <t xml:space="preserve">Andrea Catarina Rodrigues Caldas</t>
  </si>
  <si>
    <t xml:space="preserve">Expansão da Storage, Solução de armazenamento híbrida para proteção de dados de backups</t>
  </si>
  <si>
    <t xml:space="preserve">Aquisição de serviços de atualização e manutenção do software GISMAT-Aplicações em tecnologia SIG</t>
  </si>
  <si>
    <t xml:space="preserve">PH - Informática e Micro Sistemas, Lda.</t>
  </si>
  <si>
    <t xml:space="preserve">Assistência técnica e manutenção software ERP-AIRC</t>
  </si>
  <si>
    <t xml:space="preserve">AIRC - Associação de Informática da Região Centro</t>
  </si>
  <si>
    <t xml:space="preserve">2026-05-29</t>
  </si>
  <si>
    <t xml:space="preserve">Aquisição de sistema de gravação e streaming </t>
  </si>
  <si>
    <t xml:space="preserve">Esistemas Consultoria Sistemas Comunicacao Visual Multimedia, Lda</t>
  </si>
  <si>
    <t xml:space="preserve">RELOAD - CONSULTORIA INFORMÁTICA, LDA.</t>
  </si>
  <si>
    <t xml:space="preserve">PF 1176/2026 - Ajuste direto para aquisição de antenas wifi e switchs para rede sem fios - Exames Escolares</t>
  </si>
  <si>
    <t xml:space="preserve">PF 1175/2026 - Suporte Técnico da Plataforma GARBAGERE, mensalidade da licença do software, formação, execução de trabal</t>
  </si>
  <si>
    <t xml:space="preserve">Enermeter - Sistemas de Medição, Lda.</t>
  </si>
  <si>
    <t xml:space="preserve">2026-03-26</t>
  </si>
  <si>
    <t xml:space="preserve">PF 1165/2026 - Elaboração do projeto da rede de calor junto à igreja de São Jorge</t>
  </si>
  <si>
    <t xml:space="preserve">DUARTE &amp; GODINHO, LDA</t>
  </si>
  <si>
    <t xml:space="preserve">PF 1140/2025 - Aquisição de serviços para realização de auditorias energéticas detalhadas de 8 edifícios municipais</t>
  </si>
  <si>
    <t xml:space="preserve">One Engenharia lda</t>
  </si>
  <si>
    <t xml:space="preserve">SmartStep - Sistemas de Mobilidade Integrados, Lda</t>
  </si>
  <si>
    <t xml:space="preserve">Aquisição de Software de Gestão de Frota</t>
  </si>
  <si>
    <t xml:space="preserve">WAVE SOLUTIONS SISTEMAS DE INFORMAÇÃO LDA</t>
  </si>
  <si>
    <t xml:space="preserve">Aquisição de serviços de manutenção do software de base e dos módulos aplicacionais da solução SIG G/ InterAqua</t>
  </si>
  <si>
    <t xml:space="preserve">AQUASIS - Sistemas de Informação, S.A.</t>
  </si>
  <si>
    <t xml:space="preserve">CP 19/2025  INSTALAÇÃO DE UM SISTEMA FOTOVOLTAICO PARA AUTOCONSUMO (UPAC) COM INJEÇÃO NA REDE, NO RESERVATÓRIO DE URGEZ</t>
  </si>
  <si>
    <t xml:space="preserve">Re Watt, Lda</t>
  </si>
  <si>
    <t xml:space="preserve">eletricidade, fotovoltaico</t>
  </si>
  <si>
    <t xml:space="preserve">Aquisição de serviços especializados de consultoria e apoio técnico na área dos sistemas de informação, infraestrutura e</t>
  </si>
  <si>
    <t xml:space="preserve">Vodafone Portugal, Comunicações Pessoais, S.A.</t>
  </si>
  <si>
    <t xml:space="preserve">VINSO II, Lda.</t>
  </si>
  <si>
    <t xml:space="preserve">Fornecimento dos Módulos de Gestão e Informação ao Público (IPNET) do Software 4Planning</t>
  </si>
  <si>
    <t xml:space="preserve">CARD4B SYSTEMS S.A.</t>
  </si>
  <si>
    <t xml:space="preserve">Aquisição de Serviços de Fiscalização da Empreitada de Construção da Paragem "TUB III - Hospital de Braga"</t>
  </si>
  <si>
    <t xml:space="preserve">Tabique - Engenharia, Lda.</t>
  </si>
  <si>
    <t xml:space="preserve">Aquisição de Serviços de Elaboração de um Projeto de Infraestrutura Elétrica, para os TUB  Transportes Urbanos de Braga</t>
  </si>
  <si>
    <t xml:space="preserve">PIEL ? projetos de instalações elétricas, Lda</t>
  </si>
  <si>
    <t xml:space="preserve">2026-01-14</t>
  </si>
  <si>
    <t xml:space="preserve">Elaboração do Projeto de Execução para a Implementação de um Sistema de Acessos Pedonais e Mecânicos à Porta Sul do Hosp</t>
  </si>
  <si>
    <t xml:space="preserve">Paula Nabais &amp; Vítor Leite, arquitectos lda</t>
  </si>
  <si>
    <t xml:space="preserve">Gofox - Tecnologias de Informação, Unipessoal Lda.</t>
  </si>
  <si>
    <t xml:space="preserve">Aquisição de serviços de captação e edição de vídeo com recurso a inteligência artificial para apresentação e projeção d</t>
  </si>
  <si>
    <t xml:space="preserve">Rui Pedro da Silva Mendes</t>
  </si>
  <si>
    <t xml:space="preserve">2026-08-21</t>
  </si>
  <si>
    <t xml:space="preserve">Aquisição de serviços de licenciamento de software informático para os agrupamentos escolares.</t>
  </si>
  <si>
    <t xml:space="preserve">MICROABREU- Sistemas Informáticos, Ldª</t>
  </si>
  <si>
    <t xml:space="preserve">Aquisição de sistema automático de deteção de incêndios (SADI) endereçável para o Centro de Saúde de Vizela</t>
  </si>
  <si>
    <t xml:space="preserve">Extinvale - Segurança Contra Incêndios, Lda.</t>
  </si>
  <si>
    <t xml:space="preserve">Aquisição de serviços de manutenção de software para gestão e administração escolar</t>
  </si>
  <si>
    <t xml:space="preserve">JPM &amp; Abreu, Lda.</t>
  </si>
  <si>
    <t xml:space="preserve">E-Redes - Distribuição de Eletricidade, S.A.</t>
  </si>
  <si>
    <t xml:space="preserve">eletricidade, projeto, mobilidade_eletrica</t>
  </si>
  <si>
    <t xml:space="preserve">Aquisição de Equipamento Informático e Tecnológico para a Escola Secundária de  Monção</t>
  </si>
  <si>
    <t xml:space="preserve">Dholetec, Lda.</t>
  </si>
  <si>
    <t xml:space="preserve">2026-07-03</t>
  </si>
  <si>
    <t xml:space="preserve">Projetos de especialidades para arruamentos e edifícios de habitação a custo controlado - Bairro da Imaculada Conceição </t>
  </si>
  <si>
    <t xml:space="preserve">Ripórtico - Engenharia Lda</t>
  </si>
  <si>
    <t xml:space="preserve">2026-06-19</t>
  </si>
  <si>
    <t xml:space="preserve">Aquisição de serviços de certificação energética de 50 fogos - Bairro da Imaculada Conceição</t>
  </si>
  <si>
    <t xml:space="preserve">Vitor Hugo - Coordenação e Gestão de Projectos, SA</t>
  </si>
  <si>
    <t xml:space="preserve">2026-06-09</t>
  </si>
  <si>
    <t xml:space="preserve">Empreitada - Instalação de postos de carregamento de veículos elétricos para autocarros - Praceta Gil Vicente
</t>
  </si>
  <si>
    <t xml:space="preserve">eletricidade, mobilidade_eletrica</t>
  </si>
  <si>
    <t xml:space="preserve">Manuel Pombo, L.da</t>
  </si>
  <si>
    <t xml:space="preserve">MANUTENÇÃO DE SISTEMAS DE INTRUSÃO, SEGURANÇA CONTRA INCÊNDIOS E VÍDEOVIGILÂNCIA NOS EDIFÍCIOS MUNICIPAIS</t>
  </si>
  <si>
    <t xml:space="preserve">Look Home - Central Receptora de Alarmes, L.da</t>
  </si>
  <si>
    <t xml:space="preserve">PROJECTO DE EXECUÇÃO DAS ESPECIALIDADES DA REABILITAÇÃO DO EDIFÍCIO DO ALBERGUE DO PEREGRINO, DA ALTERAÇÃO DO EDIFÍCIO C</t>
  </si>
  <si>
    <t xml:space="preserve">Minhabita - Projectos de Arquitectura e Engenharia, L.da</t>
  </si>
  <si>
    <t xml:space="preserve">2026-04-01</t>
  </si>
  <si>
    <t xml:space="preserve">Desenvolvimento e Disponibilização de Sistema de Realidade Aumentada e Experiência Virtual, Acessível Através de Um Síti</t>
  </si>
  <si>
    <t xml:space="preserve">TAILOR – Advanced Analytics, LDA</t>
  </si>
  <si>
    <t xml:space="preserve">2026-03-23</t>
  </si>
  <si>
    <t xml:space="preserve">Renovação Sistema de Virtualização, Switching - CORE /ToR e Segurança e Proteção de Aplicações WEB</t>
  </si>
  <si>
    <t xml:space="preserve">Ano Software - Sistemas de Informação, Lda.</t>
  </si>
  <si>
    <t xml:space="preserve">2026-06-17</t>
  </si>
  <si>
    <t xml:space="preserve">Aquisição de serviços para evolução e expansão da plataforma de Gestão Urbana do Município de Guimarães</t>
  </si>
  <si>
    <t xml:space="preserve">BRIGHTCITY, S.A.</t>
  </si>
  <si>
    <t xml:space="preserve">aquisição de material informático para o ano de 2026</t>
  </si>
  <si>
    <t xml:space="preserve">2026-06-01</t>
  </si>
  <si>
    <t xml:space="preserve">serviços de renovação do contrato de manutenção das aplicações software, future Doc, GSP, Sistema de Gestão de Filas, In</t>
  </si>
  <si>
    <t xml:space="preserve">Ano Software - Sistemas de Informação, lDA</t>
  </si>
  <si>
    <t xml:space="preserve">aquisição de serviços para evolução e expansão da plataforma de Gestão Urbana do Município de Guimarães</t>
  </si>
  <si>
    <t xml:space="preserve">OOF Lda</t>
  </si>
  <si>
    <t xml:space="preserve">Fornecimento de equipamento informático para colaboradores.</t>
  </si>
  <si>
    <t xml:space="preserve">Quioske Me Unipessoal Lda</t>
  </si>
  <si>
    <t xml:space="preserve">Aquisição de serviços de desenvolvimento de aplicação web “Linha de Código” de forma a proporcionar ao utilizador a cria</t>
  </si>
  <si>
    <t xml:space="preserve">Aquisição de duas NAS e quatro licenças para backup</t>
  </si>
  <si>
    <t xml:space="preserve">Vida Digital - Sistemas de Informação, Lda</t>
  </si>
  <si>
    <t xml:space="preserve">Aquisição de serviços de consultadoria informática e gestão de redes para o período compreendido entre maio de 2026 e ab</t>
  </si>
  <si>
    <t xml:space="preserve">Vida Digital - Sistemas de Informação, Lda.</t>
  </si>
  <si>
    <t xml:space="preserve">Duetorignal Unipessoal, Lda</t>
  </si>
  <si>
    <t xml:space="preserve">Aquisição de painéis solares fotovoltaicos, designadamente módulos fotovoltaicos JUNKO de 465 W, enquadrados no CPV 0933</t>
  </si>
  <si>
    <t xml:space="preserve">Fontesolar - Soluções Energéticas, Unipessoal, Lda.</t>
  </si>
  <si>
    <t xml:space="preserve">2026-07-04</t>
  </si>
  <si>
    <t xml:space="preserve">EQUIPAMENTO E MATERIAL INFORMÁTICO</t>
  </si>
  <si>
    <t xml:space="preserve">2026-04-08</t>
  </si>
  <si>
    <t xml:space="preserve">AQUISIÇÃO DE MATERIAL ELÉTRICO PARA CURSO TIE E PAP</t>
  </si>
  <si>
    <t xml:space="preserve">Luxarco - Com. de Mat. Eléct., Unip., Lda.</t>
  </si>
  <si>
    <t xml:space="preserve">2026-02-09</t>
  </si>
  <si>
    <t xml:space="preserve">PRESTAÇÃO DE SERVIÇOS DE ELETRICISTA, INCLUINDO FORNECIMENTO DE MATERIAIS</t>
  </si>
  <si>
    <t xml:space="preserve">LUZ BASTO</t>
  </si>
  <si>
    <t xml:space="preserve">Concurso limitado por prévia qualificação</t>
  </si>
  <si>
    <t xml:space="preserve">Between Dialogues Lda (+1)</t>
  </si>
  <si>
    <t xml:space="preserve">PRC_0218/2026_TII- Aquisição de licenciamento CDE (Common Data Environment) para a Águas do Norte, S.A..</t>
  </si>
  <si>
    <t xml:space="preserve">Sttei - Soc.Técnica de Telecomun. e Equip.Informático,Lda</t>
  </si>
  <si>
    <t xml:space="preserve">PRC_0156/2026_TII - Aquisição de serviços de manutenção evolutiva da plataforma colaborativa de informação geográfica Ar</t>
  </si>
  <si>
    <t xml:space="preserve">Ao abrigo de acordo-quadro (art.º 258.º)</t>
  </si>
  <si>
    <t xml:space="preserve">ESRI PORTUGAL - Sistemas e Informação Geográfica, SA</t>
  </si>
  <si>
    <t xml:space="preserve">PRC_0234/2025_TII - Renovação de Licenciamento UIPATH e Serviços de Robotização de Processos.</t>
  </si>
  <si>
    <t xml:space="preserve">B2Digital - Consultoria &amp; Projetos, Lda</t>
  </si>
  <si>
    <t xml:space="preserve">PRC_0088/2024_CLG - Acordo Quadro Singular para Aquisição de Material Elétrico para a Águas do Norte, S.A.. Lote 2. 1.ª </t>
  </si>
  <si>
    <t xml:space="preserve">4Energy - Comércio e Instalações Técnicas, Lda.</t>
  </si>
  <si>
    <t xml:space="preserve">WGSN - Inteligence Espana S.L</t>
  </si>
  <si>
    <t xml:space="preserve">Aquisição de material elétrico para Fornecimento e Instalação Quadro para Laboratório Biotecnologia – projeto BE@T</t>
  </si>
  <si>
    <t xml:space="preserve">Miranda &amp; Santana Lda</t>
  </si>
  <si>
    <t xml:space="preserve">2026-06-08</t>
  </si>
  <si>
    <t xml:space="preserve">Aquisição de serviços de manutenção de software – projeto ECOBALLIFE</t>
  </si>
  <si>
    <t xml:space="preserve">Altair Software and Services, SL</t>
  </si>
  <si>
    <t xml:space="preserve">Aquisição de licença de manutenção de software LCA for Experts no âmbito do projeto Be@T - PRR</t>
  </si>
  <si>
    <t xml:space="preserve">SPHERA SOLUTIONS GMBH</t>
  </si>
  <si>
    <t xml:space="preserve">Aquisição do software EDOstructure (Perpetual license, floating usage), no âmbito do projeto do PRR – CTI</t>
  </si>
  <si>
    <t xml:space="preserve">COMPLEX FIBER STRUTURES GMBH</t>
  </si>
  <si>
    <t xml:space="preserve">Carlos Manuel Torres Rebelo</t>
  </si>
  <si>
    <t xml:space="preserve">ADCC 007/2026 - Ajuste direto com convite a uma entidade para aquisição de serviços de reforço da instalação elétrica do</t>
  </si>
  <si>
    <t xml:space="preserve">José Ramiro Simões Alves</t>
  </si>
  <si>
    <t xml:space="preserve">ADCC 002/2026 - Ajuste direto com convite a uma entidade, com vista de serviços de suporte, manutenção e atualizações pl</t>
  </si>
  <si>
    <t xml:space="preserve">Sincelo, Sistemas de Informação, Lda</t>
  </si>
  <si>
    <t xml:space="preserve">2026-03-10</t>
  </si>
  <si>
    <t xml:space="preserve">CP 056/2025 - renovação e aquisição de licenciamento, serviços de suporte técnico e manutenção no âmbito das aplicações </t>
  </si>
  <si>
    <t xml:space="preserve">Primavera Business Software Solutions, S.A.</t>
  </si>
  <si>
    <t xml:space="preserve">CPR 018/2025 - aquisição de servidores informáticos para os Serviços de Acção Social da Universidade do Minho</t>
  </si>
  <si>
    <t xml:space="preserve">Vimaponto, Equipamentos e Serviços de Informática, Lda</t>
  </si>
  <si>
    <t xml:space="preserve">DIGIBÉRIA INFORMATION TECHNOLOGIES, S.A.</t>
  </si>
  <si>
    <t xml:space="preserve">PH- Informática e Micro Sistemas, S.A.</t>
  </si>
  <si>
    <t xml:space="preserve">COGNITIO - SERVIÇOS DE GESTÃO NA EDUCAÇÃO, S.A.</t>
  </si>
  <si>
    <t xml:space="preserve">Aquisição de serviços de vigilância e segurança humana, serviços de vigilância por rondas, serviços de videovigilância (</t>
  </si>
  <si>
    <t xml:space="preserve">Protecção Total - Segurança Privada, S.A</t>
  </si>
  <si>
    <t xml:space="preserve">Aquisição de serviços de digitalização e custódia de arquivo</t>
  </si>
  <si>
    <t xml:space="preserve">Reisswolf - Tratamento Confidencial e Reciclagem de Dados e Arquivos, SA</t>
  </si>
  <si>
    <t xml:space="preserve">AD 48006325 Manutenção e Suporte da Rede LAN, WIFI e Firewall da ULSBE – 2025</t>
  </si>
  <si>
    <t xml:space="preserve">SIXFORCE ENTERPRISE COMMUNICATIONS, LDA</t>
  </si>
  <si>
    <t xml:space="preserve">AD 48005126 Serviços de manutenção e suporte dos serviços de gestão da RISI, para 2026</t>
  </si>
  <si>
    <t xml:space="preserve">RISI EXPERT SOFWARE SOLUTIONS LDA</t>
  </si>
  <si>
    <t xml:space="preserve">AD nº 48005726 - Aquisição de Serviço de Plataforma de Recrutamento e Seleção de Recursos Humanos</t>
  </si>
  <si>
    <t xml:space="preserve">iCognitus4ALL - IT Solutions, Lda.</t>
  </si>
  <si>
    <t xml:space="preserve">AD 48000126 - Aquisição de Serviços de Certificação Energética</t>
  </si>
  <si>
    <t xml:space="preserve">Queirós E Maia - Mediação Em Obras, Lda</t>
  </si>
  <si>
    <t xml:space="preserve">Vimaponto, Equipamentos e Serviços de Informática, SA</t>
  </si>
  <si>
    <t xml:space="preserve">CP 012.2026 – AQUISIÇÃO DE MATERIAL ELETRÓNICO PARA O CURSO TÉCNICO DE ELETRÓNICA, AUTOMAÇÃO E COMPUTADORES</t>
  </si>
  <si>
    <t xml:space="preserve">Narciso Gomes Componentes Eletronicos, Lda</t>
  </si>
  <si>
    <t xml:space="preserve">eletricidade, software_ti</t>
  </si>
  <si>
    <t xml:space="preserve">AD 003.2026 – PRESTAÇÃO DE
SERVIÇOS DE SUPORTE, ASSISTÊNCIA TÉCNICA, MANUTENÇÃO E GESTÃO DO PARQUE INFORMÁTICO</t>
  </si>
  <si>
    <t xml:space="preserve">Asnet</t>
  </si>
  <si>
    <t xml:space="preserve">2026-01-30</t>
  </si>
  <si>
    <t xml:space="preserve">AQUISIÇÃO DE LÂMPADAS PARA A ESCOLA SECUNDÁRIA DE CALDAS DAS TAIPAS</t>
  </si>
  <si>
    <t xml:space="preserve">Adérito Eletrónica, Lda</t>
  </si>
  <si>
    <t xml:space="preserve">2025-10-08</t>
  </si>
  <si>
    <t xml:space="preserve">CONSULTA PRÉVIA 010.2025 – AQUISIÇÃO DE MATERIAIS PARA O CURSO TÉCNICO DE ELETRÓNICA, AUTOMAÇÃO E COMPUTADORES DA ESCOLA</t>
  </si>
  <si>
    <t xml:space="preserve">Narciso Gomes – Componentes Electrónicos, Lda</t>
  </si>
  <si>
    <t xml:space="preserve">Valter Campelo de Sousa, Unipessoal Lda.</t>
  </si>
  <si>
    <t xml:space="preserve">Elaboração de Auditoria Energética e acompanhamento de processo no âmbito do SGCIE e do ECO.AP 2030</t>
  </si>
  <si>
    <t xml:space="preserve">KVARTEK LDA</t>
  </si>
  <si>
    <t xml:space="preserve">Assessoria Técnica, Fiscalização e Coordenação de Segurança em Obra da Empreitada de Conceção e Construção da UPAR do Ec</t>
  </si>
  <si>
    <t xml:space="preserve">Bizfuture Services, Lda.</t>
  </si>
  <si>
    <t xml:space="preserve">2026-05-27</t>
  </si>
  <si>
    <t xml:space="preserve">Reforço de Potência no Quadro Geral da Estação de Triagem e em Alimentação de Prensa Enfardadeira</t>
  </si>
  <si>
    <t xml:space="preserve">Simplux - Instalações e Comércio de material Eléctrico, Lda</t>
  </si>
  <si>
    <t xml:space="preserve">2026-01-12</t>
  </si>
  <si>
    <t xml:space="preserve">Reparação do transformador de reserva da Central de Valorização Orgânica</t>
  </si>
  <si>
    <t xml:space="preserve">CAPWATT SERVICES, S.A.</t>
  </si>
  <si>
    <t xml:space="preserve">José Carlos Oliveira Marques, Consultor de Engenharia - Fiscalização, Coordenação e Planeamento de Projectos, Unipessoal Limitada</t>
  </si>
  <si>
    <t xml:space="preserve">2026-08-06</t>
  </si>
  <si>
    <t xml:space="preserve">O contrato a celebrar tem como objeto Prestação de serviços de implementação do Regime Geral da Proteção de Dados (RGPD</t>
  </si>
  <si>
    <t xml:space="preserve">YUK Data Consulting, Lda.</t>
  </si>
  <si>
    <t xml:space="preserve">Procedimento enquadrado na Estratégia Local de Habitação (ELH), no âmbito do Programa 1.º Direito  Programa de Apoio ao</t>
  </si>
  <si>
    <t xml:space="preserve">Professor Engenheiro Vasco Peixoto de Freitas, Lda.</t>
  </si>
  <si>
    <t xml:space="preserve">2026-05-19</t>
  </si>
  <si>
    <t xml:space="preserve">O contrato a celebrar tem como objeto a “aquisição de material elétrico necessário à execução das intervenções de manute</t>
  </si>
  <si>
    <t xml:space="preserve">Santana e Pogeira SA</t>
  </si>
  <si>
    <t xml:space="preserve">2025-12-29</t>
  </si>
  <si>
    <t xml:space="preserve">Necessidade de aquisição de serviços de Coordenação dos Programas de Aceleração e apoio na dinamização da Rede URBACT Hu</t>
  </si>
  <si>
    <t xml:space="preserve">Carlos Manuel de Sousa Santos</t>
  </si>
  <si>
    <t xml:space="preserve">Duas Quintas, Lda.</t>
  </si>
  <si>
    <t xml:space="preserve">Aquisição de serviços para a elaboração do projeto de arquitetura e outras especialidades para a reabilitação do espaço </t>
  </si>
  <si>
    <t xml:space="preserve">Arquitectos Aliados Consulting, Lda.</t>
  </si>
  <si>
    <t xml:space="preserve">Aquisição de serviços para elaboração dos projetos AVAC, Gestão Técnica Centralizada e Certificados Energéticos para a R</t>
  </si>
  <si>
    <t xml:space="preserve">Certilusa - Certificação Energética e Engenharia, Lda</t>
  </si>
  <si>
    <t xml:space="preserve">Aquisição de serviços de Webdesign de websiterepositório de todos os eventos do Programa Oficial da Braga 25 Capital Por</t>
  </si>
  <si>
    <t xml:space="preserve">2026-05-06</t>
  </si>
  <si>
    <t xml:space="preserve">Aquisição de serviços de apoio operacional e acompanhamento de todas as fases afetas à EMAP Networking Conference 2026</t>
  </si>
  <si>
    <t xml:space="preserve">side Effects, Lda</t>
  </si>
  <si>
    <t xml:space="preserve">2026-07-21</t>
  </si>
  <si>
    <t xml:space="preserve">contratação de serviços com vista à elaboração de um projeto de execução de reabilitação do edifício denominado Casas d</t>
  </si>
  <si>
    <t xml:space="preserve">CS MA ARQUITETOS, LDA</t>
  </si>
  <si>
    <t xml:space="preserve">2026-07-17</t>
  </si>
  <si>
    <t xml:space="preserve">Contratação de serviços para elaboração de projeto de execução de ampliação e adaptação de habitação a residência partil</t>
  </si>
  <si>
    <t xml:space="preserve">obra atelier 230 lda</t>
  </si>
  <si>
    <t xml:space="preserve">Contratação de serviços de manutenção de sistemas solares térmicos e fotovoltaicos dos empreendimentos de habitação soci</t>
  </si>
  <si>
    <t xml:space="preserve">Vimaterm, Unipessoal Lda.</t>
  </si>
  <si>
    <t xml:space="preserve">2026-05-04</t>
  </si>
  <si>
    <t xml:space="preserve">Aquisição de serviços de desenvolvimento e integração de Balcão Digital com a plataforma BCS</t>
  </si>
  <si>
    <t xml:space="preserve">Parteico Software S.A.</t>
  </si>
  <si>
    <t xml:space="preserve">José Fernando Miranda da Costa, Lda</t>
  </si>
  <si>
    <t xml:space="preserve">2025-11-20</t>
  </si>
  <si>
    <t xml:space="preserve">Infraestruturas Elétricas para as Habitações de Realojamento Temporário das Famílias do Bairro Social de Loivo</t>
  </si>
  <si>
    <t xml:space="preserve">2025-11-04</t>
  </si>
  <si>
    <t xml:space="preserve">Auditoria Energética e Revisão do Projeto de Execução</t>
  </si>
  <si>
    <t xml:space="preserve">Eri, Engenharia S.A.</t>
  </si>
  <si>
    <t xml:space="preserve">2025-09-09</t>
  </si>
  <si>
    <t xml:space="preserve">Manutenção do Software WireMaze</t>
  </si>
  <si>
    <t xml:space="preserve">WireMaze - Sistemas de Informação S.A.</t>
  </si>
  <si>
    <t xml:space="preserve">2025-08-22</t>
  </si>
  <si>
    <t xml:space="preserve">Implementação do Sistema de Informação Cadastral Simplificada no Concelho de Vila Nova de Cerveira – Fase 2</t>
  </si>
  <si>
    <t xml:space="preserve">João Manuel Leal</t>
  </si>
  <si>
    <t xml:space="preserve">ELABORAÇÃO DO PROJETO DE EXECUÇÃO DO MIRADOURO DA NOSSA SENHORA DA FÉ</t>
  </si>
  <si>
    <t xml:space="preserve">Open Services, Lda</t>
  </si>
  <si>
    <t xml:space="preserve">2026-04-13</t>
  </si>
  <si>
    <t xml:space="preserve">AQUISIÇÃO DE EQUIPAMENTO INFORMÁTICO PARA OS SERVIÇOS MUNICIPAIS</t>
  </si>
  <si>
    <t xml:space="preserve">Divultec-Serviços de Informática, Lda.</t>
  </si>
  <si>
    <t xml:space="preserve">2026-04-07</t>
  </si>
  <si>
    <t xml:space="preserve">FORNECIMENTO CONTÍNUO DE MATERIAL ELÉTRICO PARA OS EDIFÍCIOS MUNICIPAIS E OBRAS DE ADMINISTRAÇÃO DIRETA</t>
  </si>
  <si>
    <t xml:space="preserve">JOSÉ CARLOS ROCHA UNIPESSOAL LDA</t>
  </si>
  <si>
    <t xml:space="preserve">2025-11-24</t>
  </si>
  <si>
    <t xml:space="preserve">MODERNIZAÇÃO DA INFRAESTRUTURA DOS SISTEMAS INFORMÁTICOS MUNICIPAIS NO ÂMBITO DA DIGITALIZAÇÃO DA ADMINISTRAÇÃO PÚBLICA </t>
  </si>
  <si>
    <t xml:space="preserve">25AS00007290-Aquisição de serviços para elaboração do projeto do novo Palácio da Justiça de Guimarães</t>
  </si>
  <si>
    <t xml:space="preserve">Vitor Hugo - Coordenação e Gestão de Projectos, SA (+1)</t>
  </si>
  <si>
    <t xml:space="preserve">“Palácio da Justiça de Arcos de
Valdevez- Aquisição de serviços para a fiscalização e coordenação de empreitada””,</t>
  </si>
  <si>
    <t xml:space="preserve">2026-01-06</t>
  </si>
  <si>
    <t xml:space="preserve">24AS00007071 - FAFE  - PJ - AQUISIÇÃO DE SERVIÇOS PARA REVISÃO DO PROJETO DE REABILITAÇÃO DO EDIFÍCIO</t>
  </si>
  <si>
    <t xml:space="preserve">Pardal Monteiro Arquitectos Imobiliaria Lda</t>
  </si>
  <si>
    <t xml:space="preserve">Aquisição de serviços de  fiscalização e coordenação de empreitada - Palácio da justiça de Vila Nova de Cerveira</t>
  </si>
  <si>
    <t xml:space="preserve">eletricidade, projeto, software_ti</t>
  </si>
  <si>
    <t xml:space="preserve">2026-04-24</t>
  </si>
  <si>
    <t xml:space="preserve">ID 10725 PRR (32-A), Igreja de Santa Marinha da Costa: Fiscalização e Coordenação de Segurança e Gestão Ambiental em obr</t>
  </si>
  <si>
    <t xml:space="preserve">2025-05-05</t>
  </si>
  <si>
    <t xml:space="preserve">PRR - Aquisição de Serviços de Assistência Técnica de Arquitetura à Empreitada de “Reestruturação das infraestruturas de</t>
  </si>
  <si>
    <t xml:space="preserve">Paulo Providência Arquitetos, Lda</t>
  </si>
  <si>
    <t xml:space="preserve">MEO - SERVIÇOS DE COMUNICAÇÕES E MULTIMÉDIA, S.A</t>
  </si>
  <si>
    <t xml:space="preserve">2026-03-30</t>
  </si>
  <si>
    <t xml:space="preserve">Concurso Público nº 2/2026 - Aquisição de Material Elétrico</t>
  </si>
  <si>
    <t xml:space="preserve">Hermann Biener – Material Eléctrico, Lda</t>
  </si>
  <si>
    <t xml:space="preserve">ROLEAR – AUTOMATIZAÇÕES, ESTUDOS E REPRESENTAÇÕES, S.A</t>
  </si>
  <si>
    <t xml:space="preserve">Prévia n.º 8/2026 - Aquisição de Serviços de Elaboração de Projeto de Segurança Contra Incêndio em Edifícios (SCIE) para</t>
  </si>
  <si>
    <t xml:space="preserve">TECNIPREVE - TÉCNICAS DE PREVENÇÃO LDA</t>
  </si>
  <si>
    <t xml:space="preserve">Consulta Prévia nº 19/2025 – Aquisição de Serviços para Elaboração de Projetos de AVAC e SCIE para a Remodelação das Ins</t>
  </si>
  <si>
    <t xml:space="preserve">Lusoclima - Soluções de Engenharia, S.A.</t>
  </si>
  <si>
    <t xml:space="preserve">Associação CCG/ZGDV - Centro de Computação Gráfica</t>
  </si>
  <si>
    <t xml:space="preserve">Aquisição de Serviços de Instalação e Configuração de um software agregador para o Catálogo Integrado da RIBMAVE - Rede </t>
  </si>
  <si>
    <t xml:space="preserve">XERCODE SOLUÇÕES EM TECNOLOGIA, UNIPESSOAL Lda.</t>
  </si>
  <si>
    <t xml:space="preserve">Serviços Especializados para Ferramenta de Showcase Territorial - Solução de Location Intelligence para Atração de Inves</t>
  </si>
  <si>
    <t xml:space="preserve">AD EVOLUTIO, LDA</t>
  </si>
  <si>
    <t xml:space="preserve">Aquisição de Equipamento de Rede e Solução WIFI</t>
  </si>
  <si>
    <t xml:space="preserve">Aquisição de Serviços de Marketing Digital e de Inteligência Artificial para Promoção da Experiência Piloto “Verde com A</t>
  </si>
  <si>
    <t xml:space="preserve">RURISOCIETATE, UNIPESSOAL LDA.</t>
  </si>
  <si>
    <t xml:space="preserve">ASNET Unipessoal, Lda</t>
  </si>
  <si>
    <t xml:space="preserve">Assistência e Prestação de Serviços a Servidores</t>
  </si>
  <si>
    <t xml:space="preserve">2026-01-16</t>
  </si>
  <si>
    <t xml:space="preserve">Assistência e Prestação de Serviços da Plataforma Moodle</t>
  </si>
  <si>
    <t xml:space="preserve">Daniel Cruz</t>
  </si>
  <si>
    <t xml:space="preserve">Aquisição de equipamentos informáticos </t>
  </si>
  <si>
    <t xml:space="preserve">Jofax - Equipamentos de escritório e Reprografia Lda.</t>
  </si>
  <si>
    <t xml:space="preserve">2025-08-19</t>
  </si>
  <si>
    <t xml:space="preserve">aquisição de equipamentos informáticos</t>
  </si>
  <si>
    <t xml:space="preserve">MICROIO - Serviços de Electrónica, Lda.</t>
  </si>
  <si>
    <t xml:space="preserve">SET2STAGE,LDA</t>
  </si>
  <si>
    <t xml:space="preserve">2026-02-24</t>
  </si>
  <si>
    <t xml:space="preserve">Aquisição de luminárias para o Museu de Arqueologia Dom Diogo de Sousa</t>
  </si>
  <si>
    <t xml:space="preserve">Peixoto &amp; Costa, Lda</t>
  </si>
  <si>
    <t xml:space="preserve">2025-06-18</t>
  </si>
  <si>
    <t xml:space="preserve">Aquisição de serviços para instalação de nova infraestrutura elétrica e reparação de sanitários - Museu de Alberto Sampa</t>
  </si>
  <si>
    <t xml:space="preserve">AOF-Augusto de Oliveira Ferreira, Lda.,</t>
  </si>
  <si>
    <t xml:space="preserve">2025-05-12</t>
  </si>
  <si>
    <t xml:space="preserve">Aquisição de aparelhos de Iluminação para os espaços expositivos do Museu dos Biscainhos</t>
  </si>
  <si>
    <t xml:space="preserve">NEXT LIGHT, LDA.</t>
  </si>
  <si>
    <t xml:space="preserve">EDNI-EMPRESA DISTRIBUIDORA DE MATERIAL INFORMATICO, LDA.</t>
  </si>
  <si>
    <t xml:space="preserve">2026-03-18</t>
  </si>
  <si>
    <t xml:space="preserve">Aquisição de serviços de Gestão e Manutenção dos Sistemas Automáticos de Deteção de Incêndios (SADI), Sistema Automático</t>
  </si>
  <si>
    <t xml:space="preserve">Securitas - Serviço e Tecnologias de Segurança, SA</t>
  </si>
  <si>
    <t xml:space="preserve">Aquisição, por LOTES, de Serviços de Vigilância e de Gestão e Manutenção dos Sistemas Automáticos de Deteção de Incêndio</t>
  </si>
  <si>
    <t xml:space="preserve">Aquisição de Serviços de Gestão e Manutenção da Rede Informática (Porto, Departamentos do Porto, Ermesinde, DQASO, Arcos</t>
  </si>
  <si>
    <t xml:space="preserve">Paulo Dias - Soluções para Informática, Unipessoal, Lda,</t>
  </si>
  <si>
    <t xml:space="preserve">Aquisição de Serviços, por LOTE, de Gestão e Manutenção dos Sistemas Automáticos de Deteção de Incêndio (SADI), de Intru</t>
  </si>
  <si>
    <t xml:space="preserve">Ronsegur, Rondas e Segurança, S.A</t>
  </si>
  <si>
    <t xml:space="preserve">2026-01-13</t>
  </si>
  <si>
    <t xml:space="preserve">Aquisição e instalação de painéis solares térmicos e acumuladores</t>
  </si>
  <si>
    <t xml:space="preserve">NERGY - UNIPESSOAL, LDA</t>
  </si>
  <si>
    <t xml:space="preserve">MANUEL CARLOS &amp; SOUSA, LDA(515590916)</t>
  </si>
  <si>
    <t xml:space="preserve">Electrograça - Instalações, L.da.</t>
  </si>
  <si>
    <t xml:space="preserve">2025-07-14</t>
  </si>
  <si>
    <t xml:space="preserve">"PROJETO DE EXECUÇÃO - INFRAESTRUTURAS DE MT E BT PARA ALIMENTAÇÃO DE POSTOS DE CARREGAMENTO DE AUTOCARROS ELÉTRICOS EM </t>
  </si>
  <si>
    <t xml:space="preserve">Esboços e Riscos, Atelier de Atquitetura, Engenharia, Construção, Consultadoria - Unipessoal Ldª</t>
  </si>
  <si>
    <t xml:space="preserve">projeto, mobilidade_eletrica</t>
  </si>
  <si>
    <t xml:space="preserve">TUU Building Design Management, Lda</t>
  </si>
  <si>
    <t xml:space="preserve">Fornecimento e instalação de sistemas de segurança eletrónica para o Data Center de Azurém (Guimarães)</t>
  </si>
  <si>
    <t xml:space="preserve">Prosegur - Companhia De Segurança, Lda.</t>
  </si>
  <si>
    <t xml:space="preserve">Aquisição de carregador de veículos elétricos - Azurém 2</t>
  </si>
  <si>
    <t xml:space="preserve">Efacec Electric Mobility, S.A.</t>
  </si>
  <si>
    <t xml:space="preserve">mobilidade_eletrica</t>
  </si>
  <si>
    <t xml:space="preserve">Aquisição de Módulos 100G para Data Center - Azurém</t>
  </si>
  <si>
    <t xml:space="preserve">Waypoint Lda</t>
  </si>
  <si>
    <t xml:space="preserve">Aquisição de serviço de fiscalização e coordenação de segurança em obra em empreitadas</t>
  </si>
  <si>
    <t xml:space="preserve">ADEPORTO - AGÊNCIA DE ENERGIA DO PORTO</t>
  </si>
  <si>
    <t xml:space="preserve">O objeto principal é a “Aquisição de serviços especializados de fiscalização dos acordos de obrigações de serviço public</t>
  </si>
  <si>
    <t xml:space="preserve">Cascatas &amp; Cataratas, Lda.</t>
  </si>
  <si>
    <t xml:space="preserve">2025-10-14</t>
  </si>
  <si>
    <t xml:space="preserve">AQUISIÇÃO DE PLATAFORMA ELETRÓNICA PARA GESTÃO DE DENÚNCIAS COM IA</t>
  </si>
  <si>
    <t xml:space="preserve">Wire Maze - Sistemas de Informação, SA</t>
  </si>
  <si>
    <t xml:space="preserve">O objeto principal da presente prestação de serviços é a aquisição de novas funcionalidades para o software Retrievo – c</t>
  </si>
  <si>
    <t xml:space="preserve">KEEP SOLUTIONS, LDA</t>
  </si>
  <si>
    <t xml:space="preserve">2025-04-22</t>
  </si>
  <si>
    <t xml:space="preserve">Aquisição de serviços de Assessoria Informática dedicada à Digitalização da CIM Alto Minho</t>
  </si>
  <si>
    <t xml:space="preserve">ARROBABIT TECHNOLOGY LDA</t>
  </si>
  <si>
    <t xml:space="preserve">Lectra Portugal, Lda.</t>
  </si>
  <si>
    <t xml:space="preserve">2026-03-17</t>
  </si>
  <si>
    <t xml:space="preserve">Renovação da Infraestrutura de networking do Modatex</t>
  </si>
  <si>
    <t xml:space="preserve">RIS2048 - Sistemas Informáticos e Comunicações, S.A.</t>
  </si>
  <si>
    <t xml:space="preserve">Aquisição de serviços de manutenção e assistência técnica às UPS´s para 2026</t>
  </si>
  <si>
    <t xml:space="preserve">Maxiglobal - Equipamentos e Serviços de Informática, SA</t>
  </si>
  <si>
    <t xml:space="preserve">Assistência técnica ao sistema de Colorimetria para 2026</t>
  </si>
  <si>
    <t xml:space="preserve">Colormetrix - Colorimetria, Sistemas e Serviços, Lda</t>
  </si>
  <si>
    <t xml:space="preserve">2025-06-25</t>
  </si>
  <si>
    <t xml:space="preserve">Infraspeak S.A.</t>
  </si>
  <si>
    <t xml:space="preserve">Prestação de Serviços de Auditoria Energética</t>
  </si>
  <si>
    <t xml:space="preserve">EDIVAC - Energy Consulting, Unipessoal Lda</t>
  </si>
  <si>
    <t xml:space="preserve">2026-03-19</t>
  </si>
  <si>
    <t xml:space="preserve">Prestação de Serviços de Software de Plataforma de Gestão de Transporte Flexível</t>
  </si>
  <si>
    <t xml:space="preserve">Eleven Systems</t>
  </si>
  <si>
    <t xml:space="preserve">2026-01-27</t>
  </si>
  <si>
    <t xml:space="preserve">Aquisição de licenciamento de software de sistema integrado de gestão empresarial (ERP)</t>
  </si>
  <si>
    <t xml:space="preserve">Primavera Business Software Solutions, SA</t>
  </si>
  <si>
    <t xml:space="preserve">Aquisição de postos de carregamento elétricos</t>
  </si>
  <si>
    <t xml:space="preserve">HT Solutions Engenharia, Lda.</t>
  </si>
  <si>
    <t xml:space="preserve">Smartwatt</t>
  </si>
  <si>
    <t xml:space="preserve">Aquisição de serviços de engenharia eletrotécnica e consultadoria no âmbito da eficiência energética dos edifícios da DG</t>
  </si>
  <si>
    <t xml:space="preserve">A Energia Azul-Engenharia e Gestão Imobiliária,Lda.</t>
  </si>
  <si>
    <t xml:space="preserve">2025-12-19</t>
  </si>
  <si>
    <t xml:space="preserve">Aquisição de serviços de manutenção preventiva e assistência técnica aos equipamentos de controlo e gestão técnica refer</t>
  </si>
  <si>
    <t xml:space="preserve">Contimetra - Instalações Mecânicas, Lda</t>
  </si>
  <si>
    <t xml:space="preserve">2025-11-06</t>
  </si>
  <si>
    <t xml:space="preserve">Aquisição de bens e serviços para a reparação de sistemas de intrusão, incêndio e circuito interno de vídeo – CCTV dos s</t>
  </si>
  <si>
    <t xml:space="preserve">STRONG CHARON, SOLUÇÕES DE SEGURANÇA, S.A.</t>
  </si>
  <si>
    <t xml:space="preserve">João Pedro Lameira - Engenharia Unipessoal, Lda</t>
  </si>
  <si>
    <t xml:space="preserve">Manutenção e reparação da instalação elétrica e cablagens do Serviço de Formação</t>
  </si>
  <si>
    <t xml:space="preserve">Barreiros, Costa &amp; Sampaio, Sa</t>
  </si>
  <si>
    <t xml:space="preserve">2026-02-23</t>
  </si>
  <si>
    <t xml:space="preserve">PR2026328/25 - Formador APZ+ - Técnico/a Especialista em Cibersegurança - 25.0479</t>
  </si>
  <si>
    <t xml:space="preserve">RICARDO NUNO GONÇALVES SILVEIRA</t>
  </si>
  <si>
    <t xml:space="preserve">2026-01-08</t>
  </si>
  <si>
    <t xml:space="preserve">12/01/2026 - Contratação Formador ID:25.0648 - Nº FIN: 481070E0004 - CET - Especialista em Tecnologias e Programação de </t>
  </si>
  <si>
    <t xml:space="preserve">FRANCISCO MIGUEL NOGUEIRA DA COSTA</t>
  </si>
  <si>
    <t xml:space="preserve">FORMADOR PARA AÇÃO ID: 25.0596 (481070E/0002) - CET - Cursos de Especialização Tecnológica [PESSOAS2030] - TÉCNICO ESPEC</t>
  </si>
  <si>
    <t xml:space="preserve">CARLOS JORGE GONÇALVES FERRAZ</t>
  </si>
  <si>
    <t xml:space="preserve">AQUISIÇÃO DE MATERIAL INFORMÁTICO – Kits Digitais e Equipamento informático diverso</t>
  </si>
  <si>
    <t xml:space="preserve">Mega Barcelos - Informatica e Tecnologia Unip., Lda.</t>
  </si>
  <si>
    <t xml:space="preserve">Aquisição da continuidade do licenciamento do software do Sistema de Gestão de Horários Escolares.</t>
  </si>
  <si>
    <t xml:space="preserve">Inforários Software, Lda</t>
  </si>
  <si>
    <t xml:space="preserve">2025-05-07</t>
  </si>
  <si>
    <t xml:space="preserve">Aquisição da continuidade do licenciamento do Software de Convocatórias e Atas de Reunião</t>
  </si>
  <si>
    <t xml:space="preserve">UTIL-SOFT UTILITÁRIOS E SOFTWARE, LDA</t>
  </si>
  <si>
    <t xml:space="preserve">Aquisição de Equipamento e Software Informático.</t>
  </si>
  <si>
    <t xml:space="preserve">Megabarcelos – Informática e Tecnologia, Unipessoal, Lda</t>
  </si>
  <si>
    <t xml:space="preserve">RELOAD – Consultoria Informática.</t>
  </si>
  <si>
    <t xml:space="preserve">Aquisição de Software Ansys Mechanical</t>
  </si>
  <si>
    <t xml:space="preserve">Esss - Engineering Simulation And Scientific Software Portugal Lda</t>
  </si>
  <si>
    <t xml:space="preserve">Aquisição de Serviços de IT</t>
  </si>
  <si>
    <t xml:space="preserve">Renovação de Licenças de utilização para o software Microsoft Office 365</t>
  </si>
  <si>
    <t xml:space="preserve">Ricoh Portrugal IT Services Lda.</t>
  </si>
  <si>
    <t xml:space="preserve">Aquisição de workstation</t>
  </si>
  <si>
    <t xml:space="preserve">ENAGOR LDA</t>
  </si>
  <si>
    <t xml:space="preserve">Sistema chamada Enfermeira</t>
  </si>
  <si>
    <t xml:space="preserve">Bcotech Business Communications Technologies, unipessoal Lda</t>
  </si>
  <si>
    <t xml:space="preserve">PEDRO MANUEL COSTA MARTINS UNIP.LDA</t>
  </si>
  <si>
    <t xml:space="preserve">Procedimento n.º 3/2025 por Consulta Prévia para a substituição do sistema CCTV do Edifício do Juízo do Trabalho e Famíl</t>
  </si>
  <si>
    <t xml:space="preserve">A.P. Alarmes Portugal, Lda.</t>
  </si>
  <si>
    <t xml:space="preserve">INOVAR +AZ</t>
  </si>
  <si>
    <t xml:space="preserve">2026-04-17</t>
  </si>
  <si>
    <t xml:space="preserve">Aquisição de serviços de consultoria - gestão de projetos - no âmbito  dos curso profissionais - projeto PESSOAS - FSE+-</t>
  </si>
  <si>
    <t xml:space="preserve">Linear Consulting Lda.</t>
  </si>
  <si>
    <t xml:space="preserve">Aquisição de Infraestrutura Tecnológica para o CTE</t>
  </si>
  <si>
    <t xml:space="preserve">Beltrão Coelho Minho</t>
  </si>
  <si>
    <t xml:space="preserve">2025-05-28</t>
  </si>
  <si>
    <t xml:space="preserve">Aquisição de Serviços de Consultoria - Gestão de Projetos - no âmbito do Cursos Profissionais - Projeto PESSOAS-FSE+-018</t>
  </si>
  <si>
    <t xml:space="preserve">LINEAR CONSULTING, LDA</t>
  </si>
  <si>
    <t xml:space="preserve">LF2 - Sistemas Informáticos, Lda</t>
  </si>
  <si>
    <t xml:space="preserve">2026-07-23</t>
  </si>
  <si>
    <t xml:space="preserve">Execução da empreitada de fornecimento e instalação de luminárias LED para substituição da iluminação interior existente</t>
  </si>
  <si>
    <t xml:space="preserve">Garmep, Lda.</t>
  </si>
  <si>
    <t xml:space="preserve">2026-07-22</t>
  </si>
  <si>
    <t xml:space="preserve">Fornecimento de instalação de um Sistema Solar Fotovoltaico para Autoconsumo no Edifício do Centro Paroquial Moreira de </t>
  </si>
  <si>
    <t xml:space="preserve">Ertec Lda</t>
  </si>
  <si>
    <t xml:space="preserve">Rui Fernando Martins</t>
  </si>
  <si>
    <t xml:space="preserve">FORNECIMENTO E MONTAGEM DE UM SISTEMA DE AUTOCONSUMO FOTOVOLTAICO</t>
  </si>
  <si>
    <t xml:space="preserve">Energicoura</t>
  </si>
  <si>
    <t xml:space="preserve">MTI - Consulting, Lda</t>
  </si>
  <si>
    <t xml:space="preserve">Aquisição de Equipamento Informático para a UCCI da ULDM D. Elvira Câmara Lopes, da Santa Casa da Misericórdia de Póvoa </t>
  </si>
  <si>
    <t xml:space="preserve">HUILD - BUILDING SOLUTIONS, LDA</t>
  </si>
  <si>
    <t xml:space="preserve">Featurepoint - Engenharia e Topografia, Lda</t>
  </si>
  <si>
    <t xml:space="preserve">2026-03-03</t>
  </si>
  <si>
    <t xml:space="preserve">Empreitada para instalação de quadro elétrico no Edifício dos Serviços Administrativos de Braga.</t>
  </si>
  <si>
    <t xml:space="preserve">FLOPONOR S A</t>
  </si>
  <si>
    <t xml:space="preserve">42/ICNF/DRCNFN/2025-Aquisição e montagem de Sistema Autónomo para Produção e Armazenamento de Energia Elétrica para o Ce</t>
  </si>
  <si>
    <t xml:space="preserve">Bluint - Engenharia e Tecnologias Integradas, Unipessoal, Lda.</t>
  </si>
  <si>
    <t xml:space="preserve">Aquisição de serviços de fiscalização de obra pública de 12 edifícios 
Investimento TC-C13-i02_“Eficiência Energética em</t>
  </si>
  <si>
    <t xml:space="preserve">FEATUREPOINT – Engenharia e Topografia, Lda.</t>
  </si>
  <si>
    <t xml:space="preserve">Asnet Unipessoal, Lda</t>
  </si>
  <si>
    <t xml:space="preserve">ASNET UNIPESSOAL, LDA.</t>
  </si>
  <si>
    <t xml:space="preserve">XpertGo - Business Solutions Development, Lda</t>
  </si>
  <si>
    <t xml:space="preserve">Aquisição de equipamento de rede para o Centro Académico</t>
  </si>
  <si>
    <t xml:space="preserve">2025-11-10</t>
  </si>
  <si>
    <t xml:space="preserve">Aquisição de serviços para implementação de projeto com vista à atribuição do Selo de Usabilidade e Acessibilidade nível</t>
  </si>
  <si>
    <t xml:space="preserve">2025-04-23</t>
  </si>
  <si>
    <t xml:space="preserve">Aquisição de serviços de aluguer de fibra ótica escura FOE para Rede Privada de FOIPVC-ESCE</t>
  </si>
  <si>
    <t xml:space="preserve">dstelecom, S.A.</t>
  </si>
  <si>
    <t xml:space="preserve">Ataraxia - Estudos e Sist.Tec. de Informação, Lda.</t>
  </si>
  <si>
    <t xml:space="preserve">Verdedata - Sistemas de Informática, Lda.</t>
  </si>
  <si>
    <t xml:space="preserve">2025-06-09</t>
  </si>
  <si>
    <t xml:space="preserve">Integração de torniquetes no software escolar</t>
  </si>
  <si>
    <t xml:space="preserve">INOVAR</t>
  </si>
  <si>
    <t xml:space="preserve">RT - Telecomunicações LDA</t>
  </si>
  <si>
    <t xml:space="preserve">Organização da 14ª edição do Evento ENVE 2026 (Encontro Nacional de Veículos Elétricos) que se afirma como o principal e</t>
  </si>
  <si>
    <t xml:space="preserve">UVE - Associação de Utilizadores de Veículos Elétricos</t>
  </si>
  <si>
    <t xml:space="preserve">Serviços de Arquitetura necessários para a elaboração de um Parque Musical, com respeito e no desenvolvimento da ideia, </t>
  </si>
  <si>
    <t xml:space="preserve">João Luís Ribeiro da Silva Mendes</t>
  </si>
  <si>
    <t xml:space="preserve">Tecnofão - Instalações Eléctricas E Electrodomésticos, Lda</t>
  </si>
  <si>
    <t xml:space="preserve">2025-05-13</t>
  </si>
  <si>
    <t xml:space="preserve">Aquisição de sistemas de deteção de incêndio, de intrusão e de vigilância eletrónica (CCTV) para o Pavilhão Gimnodesport</t>
  </si>
  <si>
    <t xml:space="preserve">ESPO24-SISTEMAS DE SEGURANÇA LDA</t>
  </si>
  <si>
    <t xml:space="preserve">2025-05-08</t>
  </si>
  <si>
    <t xml:space="preserve">Aquisição de serviços de assistência técnica e tecnológica a software GRID</t>
  </si>
  <si>
    <t xml:space="preserve">Sincelo, Sistemas de Informação, Lda.</t>
  </si>
  <si>
    <t xml:space="preserve">BOVIDIFUSÃO-COMÉRCIO DE PRODUTOS AGROPECUÁRIOS,LDA</t>
  </si>
  <si>
    <t xml:space="preserve">2025-12-12</t>
  </si>
  <si>
    <t xml:space="preserve">Fornecimento de Material Elétrico para Picadeiro</t>
  </si>
  <si>
    <t xml:space="preserve">Cristiano &amp; Manuel Fernandes, Lda.</t>
  </si>
  <si>
    <t xml:space="preserve">2025-05-30</t>
  </si>
  <si>
    <t xml:space="preserve">Material Informático e software</t>
  </si>
  <si>
    <t xml:space="preserve">Afonso &amp; Gigante, Lda</t>
  </si>
  <si>
    <t xml:space="preserve">CFS Solutions Electricidade, Unipessoal, Lda</t>
  </si>
  <si>
    <t xml:space="preserve">Aquisição de Equipamento Informático</t>
  </si>
  <si>
    <t xml:space="preserve">VERDEDATA, Sistemas de Informática, Lda.</t>
  </si>
  <si>
    <t xml:space="preserve">Aquisição de terminais telefónicos e Solução de CRM</t>
  </si>
  <si>
    <t xml:space="preserve">Securitas Direct Portugal Unipessoal, Lda.</t>
  </si>
  <si>
    <t xml:space="preserve">Aquisição de equipamento informático para equipar o Centro Tecnológico Especializado na área industrial</t>
  </si>
  <si>
    <t xml:space="preserve">Areal Editores, SA</t>
  </si>
  <si>
    <t xml:space="preserve">2025-10-27</t>
  </si>
  <si>
    <t xml:space="preserve">Prestação de serviços de revisão do projeto de execução da empreitada de requalificação do bloco A – Escola de Hotelaria</t>
  </si>
  <si>
    <t xml:space="preserve">Artur Isac Ribeiro Guimarães Marques</t>
  </si>
  <si>
    <t xml:space="preserve">Prestação de serviços de elaboração dos projetos de execução para ampliação da oficina de mecatrónica no bloco I e insta</t>
  </si>
  <si>
    <t xml:space="preserve">Alcepi, Lda</t>
  </si>
  <si>
    <t xml:space="preserve">AVIOMOD AEROSPACE TECHNOLOGIES LDA</t>
  </si>
  <si>
    <t xml:space="preserve">2025-08-07</t>
  </si>
  <si>
    <t xml:space="preserve"> Aquisição de serviços de consultoria em automação de processos para a aeronave regional ARL”.</t>
  </si>
  <si>
    <t xml:space="preserve">AUTOMACAO EM ENGENHARIA LTDA</t>
  </si>
  <si>
    <t xml:space="preserve">Ondata International, Unipessoal, Lda.</t>
  </si>
  <si>
    <t xml:space="preserve">NC3291-Renovação de Licenciamento do software para Peritagem Forense de Dispositivos Móveis - XRY.</t>
  </si>
  <si>
    <t xml:space="preserve">Advanced Resources, Lda</t>
  </si>
  <si>
    <t xml:space="preserve">2025-12-30</t>
  </si>
  <si>
    <t xml:space="preserve">74/ADCM/AT/2025 - Aquisição (renovação) da Licença do software da Magnet Forensics “GrayKey License – Essentials”</t>
  </si>
  <si>
    <t xml:space="preserve">REDSHIFT CONSULTING</t>
  </si>
  <si>
    <t xml:space="preserve">Infor Peixoto</t>
  </si>
  <si>
    <t xml:space="preserve">Desenvolvimento de website</t>
  </si>
  <si>
    <t xml:space="preserve">UNTILE, LDA</t>
  </si>
  <si>
    <t xml:space="preserve">2026-01-21</t>
  </si>
  <si>
    <t xml:space="preserve">FORNECIMENTO DE SERVIÇOS | LICENCIAMENTO DE SOFTWARE APLICACIONAL</t>
  </si>
  <si>
    <t xml:space="preserve">Tree Energy</t>
  </si>
  <si>
    <t xml:space="preserve">2025-10-24</t>
  </si>
  <si>
    <t xml:space="preserve">Aquisição da central de deteção incêndio digital Simens para substituir a antiga central analógica.</t>
  </si>
  <si>
    <t xml:space="preserve">Silsafe Lda</t>
  </si>
  <si>
    <t xml:space="preserve">Ajuste Direto - Aqusição central de incêndio</t>
  </si>
  <si>
    <t xml:space="preserve">Silsafe, Lda</t>
  </si>
  <si>
    <t xml:space="preserve">DIVULTEC - SERVIÇOS DE INFORMÁTICA, LDA</t>
  </si>
  <si>
    <t xml:space="preserve">Locação de Paredes para construção de espaços de networking e divisórias de pavilhão  necessárias à realização da inicia</t>
  </si>
  <si>
    <t xml:space="preserve">PICTORIAL STORY, UNIPESSOAL Ldª</t>
  </si>
  <si>
    <t xml:space="preserve">2025-10-21</t>
  </si>
  <si>
    <t xml:space="preserve">Aquisição de software para implementação de sistema de desmaterialização de contratos com beneficiários, com solução de </t>
  </si>
  <si>
    <t xml:space="preserve">• Filedoc - Software, Lda</t>
  </si>
  <si>
    <t xml:space="preserve">DIGIZOOM-INFORMÁTICA E SERVIÇOS UNIPESSOAL, LDA.</t>
  </si>
  <si>
    <t xml:space="preserve">O presente procedimento tem por objeto a aquisição de serviços para a avaliação visual e mecânica de madeira da espécie </t>
  </si>
  <si>
    <t xml:space="preserve">KOZOWOOD INDUSTRIES, S.A.</t>
  </si>
  <si>
    <t xml:space="preserve">2025-08-04</t>
  </si>
  <si>
    <t xml:space="preserve">O presente procedimento tem por objeto a aquisição de serviços para processamento de dados de campo, processamento de pe</t>
  </si>
  <si>
    <t xml:space="preserve">WATERIOT - CONSULTORIA E INVESTIGAÇÃO EM ENGENHARIA, LDA</t>
  </si>
  <si>
    <t xml:space="preserve">Aquisição de serviços de assistência técnica ao sistema de gestão integrado da qualidade, ambiente e segurança.</t>
  </si>
  <si>
    <t xml:space="preserve">ALLVISION CONSULTING AND TRAINING, LDA.</t>
  </si>
  <si>
    <t xml:space="preserve">Renovação de software, cartões de comunicação e aquisição de cellos de controle de caudais</t>
  </si>
  <si>
    <t xml:space="preserve">ENERMETER-SISTEMAS DE MEDIÇÃO, UNIPESSOAL LDA</t>
  </si>
  <si>
    <t xml:space="preserve">MEGABARCELOS - Informática e Tecnologia Unip. Lda.</t>
  </si>
  <si>
    <t xml:space="preserve">ASNET</t>
  </si>
  <si>
    <t xml:space="preserve">2025-06-16</t>
  </si>
  <si>
    <t xml:space="preserve">Aquisição Materiais técnicos para a Rádio Escolar</t>
  </si>
  <si>
    <t xml:space="preserve">Augustos da Cunha Gomes, Lda</t>
  </si>
  <si>
    <t xml:space="preserve">Aquisição De Material Informático E Pedagógico</t>
  </si>
  <si>
    <t xml:space="preserve">2025-10-29</t>
  </si>
  <si>
    <t xml:space="preserve">AQUISIÇÃO DE MATERIAL INFORMÁTICO E SOFTWARE</t>
  </si>
  <si>
    <t xml:space="preserve">2025-06-27</t>
  </si>
  <si>
    <t xml:space="preserve">Inforários Software, Lda.</t>
  </si>
  <si>
    <t xml:space="preserve">PRÁXIS - SOCIEDADE DE SERVIÇOS TÉCNICOS, UNIPESSOAL LDA</t>
  </si>
  <si>
    <t xml:space="preserve">AQUISIÇÃO DE SERVIÇOS DE FISCALIZAÇÃO, GESTÃO DA QUALIDADE, COORDENAÇÃO DE SEGURANÇA EM OBRA E COORDENAÇÃO DE GESTÃO AMB</t>
  </si>
  <si>
    <t xml:space="preserve">RIOBOCO - Serviços Gerais, engenharia e Manutenção, S.A.</t>
  </si>
  <si>
    <t xml:space="preserve">PROSPECTIVA - PROJECTOS, SERVIÇOS E ESTUDOS, S.A.</t>
  </si>
  <si>
    <t xml:space="preserve">Manutenção de equipamentos eletromecânicos</t>
  </si>
  <si>
    <t xml:space="preserve">HIDMA-Hidráulica e Automação, SA.</t>
  </si>
  <si>
    <t xml:space="preserve">2026-04-22</t>
  </si>
  <si>
    <t xml:space="preserve">Aquisição de Serviços de Fornecimento do Software "H2Online", Plataforma com Interface Web para Gestão, Consulta e Dispo</t>
  </si>
  <si>
    <t xml:space="preserve">INELCIS - INFORMÁTICA E ELECTRÓNICA, CIRCUITOS E SISTEMAS, LDA</t>
  </si>
  <si>
    <t xml:space="preserve">INOVAR +AZ - SISTEMAS DE INFORMAÇÃO, LDA.</t>
  </si>
  <si>
    <t xml:space="preserve">eletricidade, seguranca_incendio, software_ti</t>
  </si>
  <si>
    <t xml:space="preserve">ELECTRO FERNANDES, LDA</t>
  </si>
  <si>
    <t xml:space="preserve">AQUISIÇÃO DE SERVIÇOS DE ASSISTÊNCIA INFORMÁTICA</t>
  </si>
  <si>
    <t xml:space="preserve">Equilabrium SAS</t>
  </si>
  <si>
    <t xml:space="preserve">Aquisição de componentes para adaptação mecânica, elétrica, pneumática e de automação de prensa</t>
  </si>
  <si>
    <t xml:space="preserve">TEQUIMAQ - MÁQUINAS PARA INDÚSTRIA QUÍMICA E CORTI</t>
  </si>
  <si>
    <t xml:space="preserve">Aquisição de licenças de software necessário para o desenvolvimento do hardware dos sistemas de sensorização, controlo e</t>
  </si>
  <si>
    <t xml:space="preserve">Altium</t>
  </si>
  <si>
    <t xml:space="preserve">Aquisição de um software dedicado à simulação de processos de fabrico de materiais compósitos </t>
  </si>
  <si>
    <t xml:space="preserve">Cadflow - Optimização, Reengenharia e Comercialização de Hardware e Software Lda</t>
  </si>
  <si>
    <t xml:space="preserve">Aquisição de um potencióstato destinado à realização de ensaios eletroquímicos em condições térmicas controladas</t>
  </si>
  <si>
    <t xml:space="preserve">Metrohm Portugal, Lda.</t>
  </si>
  <si>
    <t xml:space="preserve">Sincronideia Lda</t>
  </si>
  <si>
    <t xml:space="preserve">Fornecimento e instalação de peças para substituição do sistema de deteção de incêndio</t>
  </si>
  <si>
    <t xml:space="preserve">Xamix - Engenharia e Sistemas de Segurança Lda</t>
  </si>
  <si>
    <t xml:space="preserve">2025-05-09</t>
  </si>
  <si>
    <t xml:space="preserve">Consulta Prévia n.º 15/2025 - Elaboração de Projeto de Execução referente à construção de um Centro de Valorização e Tra</t>
  </si>
  <si>
    <t xml:space="preserve">Vitor Hugo - Coordenação e Gestão de Projetos, S.A.</t>
  </si>
  <si>
    <t xml:space="preserve">Estrelabinária, Lda.</t>
  </si>
  <si>
    <t xml:space="preserve">Aquisição de serviços assistência software dbGEP</t>
  </si>
  <si>
    <t xml:space="preserve">DBG - Gabinete de Aplicações INformáticas, Lda.</t>
  </si>
  <si>
    <t xml:space="preserve">Aquisição de equipamento no âmbito do CTE Industrial</t>
  </si>
  <si>
    <t xml:space="preserve">Inforabreu (+2)</t>
  </si>
  <si>
    <t xml:space="preserve">Aquisição de equipamento e software no âmbito do CTE de Informática.</t>
  </si>
  <si>
    <t xml:space="preserve">Inforabreu (+1)</t>
  </si>
  <si>
    <t xml:space="preserve">Formato EC - Consultoria e Engenharia, Lda</t>
  </si>
  <si>
    <t xml:space="preserve">Prestação de serviço para validar a implementação das medidas de melhoria efetuadas no edifício, cumprimento da melhoria</t>
  </si>
  <si>
    <t xml:space="preserve">CENTERM</t>
  </si>
  <si>
    <t xml:space="preserve">Bitpro Sistemas Informção, Lda</t>
  </si>
  <si>
    <t xml:space="preserve">Aquisição de Serviços de Assessoria Jurídica à Contratação Pública, Gestão de Obra, Fiscalização e Coordenação de Segura</t>
  </si>
  <si>
    <t xml:space="preserve">Huild – Building Solutions, Lda</t>
  </si>
  <si>
    <t xml:space="preserve">João A.V.Pimenta Lda - Divitec</t>
  </si>
  <si>
    <t xml:space="preserve">2025-05-16</t>
  </si>
  <si>
    <t xml:space="preserve">AQUISIÇÃO DA PRESTAÇÃO DE SERVIÇOS PARA A EXECUÇÃO DO PROJETO DE ARQUITETURA, PROJETOS DE ESPECIALIDADES E PROJETO DE EX</t>
  </si>
  <si>
    <t xml:space="preserve">T.D.P. - Projectos e Fiscalizacao, Lda</t>
  </si>
  <si>
    <t xml:space="preserve">AQUISIÇÃO PRESTAÇÃO DE SERVIÇOS DE ELABORAÇÃO DO PROJETO DE ARQUITETURA, PROJETOS DE ESPECIALIDADES E PROJETO DE EXECUÇÃ</t>
  </si>
  <si>
    <t xml:space="preserve">ORIZEC - Gestão, Coordenação e Fiscalização, Unipessoal, Lda.</t>
  </si>
  <si>
    <t xml:space="preserve">JANS INFORMÁTICA - Sociedade Unipessoal, Lda.</t>
  </si>
  <si>
    <t xml:space="preserve">2025-07-07</t>
  </si>
  <si>
    <t xml:space="preserve">No âmbito da candidatura a ser submetida no âmbito do Aviso NORTE2030-2024-86, Investimento em Infraestruturas Tecnológi</t>
  </si>
  <si>
    <t xml:space="preserve">Alicontrol - Tecnologia e Controlo de Alimentos, Lda.</t>
  </si>
  <si>
    <t xml:space="preserve">Inforlândia,SA</t>
  </si>
  <si>
    <t xml:space="preserve">AQUISIÇÃO DE MATERIAL INFORMÁTICO – Kits Digitais, Armários de carregamento de computadores e carregadores USB.</t>
  </si>
  <si>
    <t xml:space="preserve">Areal Editores, S.a.</t>
  </si>
  <si>
    <t xml:space="preserve">2025-06-02</t>
  </si>
  <si>
    <t xml:space="preserve">AQUISIÇÃO DE EQUIPAMENTOS INFORMÁTICOS –KITS DIGITAIS</t>
  </si>
  <si>
    <t xml:space="preserve">INFORLANDIA S.A</t>
  </si>
  <si>
    <t xml:space="preserve">Amplitude Portatil, Unip. Lda</t>
  </si>
  <si>
    <t xml:space="preserve">AQUISIÇÃO DE SERVIDORES E BASTIDOR PARA OS CURSOS PROFISSIONAIS</t>
  </si>
  <si>
    <t xml:space="preserve">AQUISIÇÃO DE MATERIAL INFORMÁTICO E LICENÇAS.</t>
  </si>
  <si>
    <t xml:space="preserve">Sons do Clássico unip. Lda</t>
  </si>
  <si>
    <t xml:space="preserve">Aquisição de equipamento informático, para a Casa de Saúde S. João de Deus e para a Casa de Saúde de S. José, do Institu</t>
  </si>
  <si>
    <t xml:space="preserve">2025-06-11</t>
  </si>
  <si>
    <t xml:space="preserve">Aquisição de serviços de elaboração de projeto de execução</t>
  </si>
  <si>
    <t xml:space="preserve">Atelier Arquitetura e Engenharia Filipe &amp; Gabriela, Lda</t>
  </si>
  <si>
    <t xml:space="preserve">ClouDirect Lda</t>
  </si>
  <si>
    <t xml:space="preserve">2025-12-16</t>
  </si>
  <si>
    <t xml:space="preserve">Aquisição de software e serviços associados: Instalação, Formação e Renovação</t>
  </si>
  <si>
    <t xml:space="preserve">INOVAR +AZ - Sistemas de Informação, Lda</t>
  </si>
  <si>
    <t xml:space="preserve">2025-06-12</t>
  </si>
  <si>
    <t xml:space="preserve">S.E.S.I. - SIST. ELECTRONICOS SEGURANÇA INTEGRADA, LDA</t>
  </si>
  <si>
    <t xml:space="preserve">AQUISIÇÃO DE EQUIPAMENTOS INFORMÁTICOS – Kits Digitais e Equipamentos Informáticos</t>
  </si>
  <si>
    <t xml:space="preserve">Aquisição De Serviços De Assistência Informática</t>
  </si>
  <si>
    <t xml:space="preserve">Manuel Rui Azinhais Nabeiro, Unipessoal, Lda</t>
  </si>
  <si>
    <t xml:space="preserve">2025-12-17</t>
  </si>
  <si>
    <t xml:space="preserve">Aquisição de serviços informáticos (Assistência técnica e manutenção) - PESSOAS 2030</t>
  </si>
  <si>
    <t xml:space="preserve">InfNetWork de Michel Alexandre Rodrigues Alves</t>
  </si>
  <si>
    <t xml:space="preserve">Aquisição de serviços informáticos (Assistência técnica e manutenção)</t>
  </si>
  <si>
    <t xml:space="preserve">ATARAXIA-ESTUDOS E SERVIÇOS EM TECN DE INFORMAÇÃO LDA</t>
  </si>
  <si>
    <t xml:space="preserve">2025-09-23</t>
  </si>
  <si>
    <t xml:space="preserve">Aquisição De Equipamentos Informáticos E Reparações De Computadores</t>
  </si>
  <si>
    <t xml:space="preserve">ALPHASC, UNIPESSOAL, LDA</t>
  </si>
  <si>
    <t xml:space="preserve">Sepreve - Equipamentos de Prevenção e Segurança, Lda.</t>
  </si>
  <si>
    <t xml:space="preserve">Aquisição de Serviços de Manutenção/Reparação de Computadores Portáteis</t>
  </si>
  <si>
    <t xml:space="preserve">Duetoriginal, Unipessaol, Lda</t>
  </si>
  <si>
    <t xml:space="preserve">CHEAPTRADE - lojas de informática, Lda</t>
  </si>
  <si>
    <t xml:space="preserve">Aquisição de equipamento informático e audiovisual</t>
  </si>
  <si>
    <t xml:space="preserve">Eduardo Sousa</t>
  </si>
  <si>
    <t xml:space="preserve">Megabarcelos Inf. e Tecnologia Unipessoal Lda</t>
  </si>
  <si>
    <t xml:space="preserve">2026-08-03</t>
  </si>
  <si>
    <t xml:space="preserve">Licenciamento De Software – Horários</t>
  </si>
  <si>
    <t xml:space="preserve">DCS, Lda</t>
  </si>
  <si>
    <t xml:space="preserve">Silvertic-equipamentos Escritório, Lda</t>
  </si>
  <si>
    <t xml:space="preserve">Aquisição de equipamento informático e serviços de manutenção do parque informático</t>
  </si>
  <si>
    <t xml:space="preserve">NOVAVERDEIT - SOLUÇÕES INFORMÁTICAS, LDª</t>
  </si>
  <si>
    <t xml:space="preserve">INCENTEA - TECHNOLOGY FOR PEOPLE, S.A</t>
  </si>
  <si>
    <t xml:space="preserve">Aquisição de Equipamento Informático para a Formação (no âmbito do PRR) - Hardware: 84 PCs e 2 Impressoras 3D e Software</t>
  </si>
  <si>
    <t xml:space="preserve">LISTOPSIS- Business Solutions Lda</t>
  </si>
  <si>
    <t xml:space="preserve">2025-09-03</t>
  </si>
  <si>
    <t xml:space="preserve">Aquisição de serviços de internet dedicado para o Centro Tecnológico Especializado (CTE) industrial na área da metalurgi</t>
  </si>
  <si>
    <t xml:space="preserve">Ondulante &amp; Corajoso - Unipessoal Lda</t>
  </si>
  <si>
    <t xml:space="preserve">Webout - Soluções de Internet Lda.</t>
  </si>
  <si>
    <t xml:space="preserve">2026-02-05</t>
  </si>
  <si>
    <t xml:space="preserve">Aquisição de Licenciamento de Software</t>
  </si>
  <si>
    <t xml:space="preserve">2025-10-15</t>
  </si>
  <si>
    <t xml:space="preserve">Aquisição, A Instalação, A Configuração E A Manutenção Da Infraestrutura Tecnológica, Do Hardware, Do Software E Dos Equ</t>
  </si>
  <si>
    <t xml:space="preserve">Primavera-Business Software Solutions S.A.</t>
  </si>
  <si>
    <t xml:space="preserve">Aquisição de E-Schooling Campus- "E.Pass"</t>
  </si>
  <si>
    <t xml:space="preserve">CODEVISION, S. A.</t>
  </si>
  <si>
    <t xml:space="preserve">CREAR - CRIAÇÃO E ESTUDOS DE ARQUITECTURA E ENGENHARIA, LDA.</t>
  </si>
  <si>
    <t xml:space="preserve">2025-09-15</t>
  </si>
  <si>
    <t xml:space="preserve">Serviços de elaboração do projeto técnico de execução relativo à salvaguarda, valorização e promoção do património cultu</t>
  </si>
  <si>
    <t xml:space="preserve">Rscr - Electricidade e Iluminação, Lda.</t>
  </si>
  <si>
    <t xml:space="preserve">Aquisição de Fornecimento contínuo de Mão de Obra especializada em Mecânica e Eletricista Auto</t>
  </si>
  <si>
    <t xml:space="preserve">OLIMEC, UNIPESSOAL LDA</t>
  </si>
  <si>
    <t xml:space="preserve">2025-05-15</t>
  </si>
  <si>
    <t xml:space="preserve">Aquisição de serviços de manutenção das aplicações SIGMA</t>
  </si>
  <si>
    <t xml:space="preserve">Medidata.Net - Sistemas de Informação para Autarquias, SA</t>
  </si>
  <si>
    <t xml:space="preserve">Aquisição de Serviços de Renovação de Licenciamento e Manutenção de Software</t>
  </si>
  <si>
    <t xml:space="preserve">Cardoso &amp; Rocha's - Instalações Eléctricas, Lda.</t>
  </si>
  <si>
    <t xml:space="preserve">Empreitada de Requalificação da Estrutura Residencial para Pessoas Idosas (ERPI) da Santa Casa da Misericórdia de Fão - </t>
  </si>
  <si>
    <t xml:space="preserve">Onworks - Construções, Lda</t>
  </si>
  <si>
    <t xml:space="preserve">2025-12-05</t>
  </si>
  <si>
    <t xml:space="preserve">MGVSI - INFORMÁTICA, CONSULTADORIA SIST. DE INF., LDA</t>
  </si>
  <si>
    <t xml:space="preserve">2025-06-20</t>
  </si>
  <si>
    <t xml:space="preserve">Decsis - Sistemas de Informação SA</t>
  </si>
  <si>
    <t xml:space="preserve">E-goi, lda</t>
  </si>
  <si>
    <t xml:space="preserve">Aquisição de Plataforma de Realidade Aumentada para o Comércio Local  Retail AR, no âmbito do projeto cofinanciado pelo</t>
  </si>
  <si>
    <t xml:space="preserve">EDIGMA, S.A.</t>
  </si>
  <si>
    <t xml:space="preserve">Configbit - Soluções Tecnológicas Uniessoal, Lda.</t>
  </si>
  <si>
    <t xml:space="preserve">Aquisição de serviços para instalação de um programa de gestão documental</t>
  </si>
  <si>
    <t xml:space="preserve">Xdoc – Equipamentos de Escritório, Lda</t>
  </si>
  <si>
    <t xml:space="preserve">2025-04-16</t>
  </si>
  <si>
    <t xml:space="preserve">Aquisição de Bens Móveis para requalificação da Sala de TIC</t>
  </si>
  <si>
    <t xml:space="preserve">LIF - Luis Ismael Fernandes, unip Lda</t>
  </si>
  <si>
    <t xml:space="preserve">Allfix, Lda</t>
  </si>
  <si>
    <t xml:space="preserve">Painhas SA</t>
  </si>
  <si>
    <t xml:space="preserve">Trajetos com Energia, Ld</t>
  </si>
  <si>
    <t xml:space="preserve">Fourclim, Lda</t>
  </si>
  <si>
    <t xml:space="preserve">A. Lopes &amp; Fernandes, Lda</t>
  </si>
  <si>
    <t xml:space="preserve">JAF-Energias Renováveis Lda</t>
  </si>
  <si>
    <t xml:space="preserve">CUNHA BASTOS, LDA</t>
  </si>
  <si>
    <t xml:space="preserve">RZSOLAR, LDA</t>
  </si>
  <si>
    <t xml:space="preserve">TECNIAGRELA, LDA.</t>
  </si>
  <si>
    <t xml:space="preserve">Ligalote, Lda</t>
  </si>
  <si>
    <t xml:space="preserve">MEO - Serviços de Comunicações e Multimédia, S.A. (+1)</t>
  </si>
  <si>
    <t xml:space="preserve">2025-11-17</t>
  </si>
  <si>
    <t xml:space="preserve">PGISI, Lda</t>
  </si>
  <si>
    <t xml:space="preserve">Clevermaster - Sociedade de Equipamentos Audiovisuais e Multimédia, Lda.</t>
  </si>
  <si>
    <t xml:space="preserve">NAUTILUS - Indústria e Comércio de Mobiliário, S.A.</t>
  </si>
  <si>
    <t xml:space="preserve">Bizz Box, Lda</t>
  </si>
  <si>
    <t xml:space="preserve">Aquisição de serviços de evolução, manutenção e assistência técnica da aplicação IGweb</t>
  </si>
  <si>
    <t xml:space="preserve">CASO - Consultores Associados de Organizações e Informática , Lda.</t>
  </si>
  <si>
    <t xml:space="preserve">Aquisição licenças acesso remoto e aluguer de software colaborativo pelo período de 12 meses</t>
  </si>
  <si>
    <t xml:space="preserve">Exitus, Soluções Tecnológicas, Lda.</t>
  </si>
  <si>
    <t xml:space="preserve">Bcn - Sistemas de Escritório e Imagem, S.a.</t>
  </si>
  <si>
    <t xml:space="preserve">Serviços de suporte, apoio e manutenção do programa de gestão escolar e-Schooling, na escola Esprominho – Escola Profiss</t>
  </si>
  <si>
    <t xml:space="preserve">CODEVISION SA</t>
  </si>
  <si>
    <t xml:space="preserve">Aquisição De Material Informático – kits Digitais e carregador de portáteis</t>
  </si>
  <si>
    <t xml:space="preserve">Miguel Terra Sá - Arquitetura, Unipessoal Lda.</t>
  </si>
  <si>
    <t xml:space="preserve">RUPTURA - PLANEAMENTO E GESTÃO DE PROJETOS, LDA</t>
  </si>
  <si>
    <t xml:space="preserve">Pengest, SA</t>
  </si>
  <si>
    <t xml:space="preserve">CONSULTORIA INRUPRE SL</t>
  </si>
  <si>
    <t xml:space="preserve">GMF - ENGENHARIA &amp; ARQUITECTURA, LDA</t>
  </si>
  <si>
    <t xml:space="preserve">TUU - Building Design Management, S.A.</t>
  </si>
  <si>
    <t xml:space="preserve">Adelino Jorge de Sá Campinho</t>
  </si>
  <si>
    <t xml:space="preserve">Nelson Manuel Novais Alves</t>
  </si>
  <si>
    <t xml:space="preserve">Atelier de Arquitectura e Engenharia - Filipe &amp; Gabrielela, Lda.</t>
  </si>
  <si>
    <t xml:space="preserve">Raízes Independentes, Lda.</t>
  </si>
  <si>
    <t xml:space="preserve">GeoXXI Lda.</t>
  </si>
  <si>
    <t xml:space="preserve">ARQUEURO – Gabinete de Arquitectura e Engenharia, Lda</t>
  </si>
  <si>
    <t xml:space="preserve">ARTOPE - GAB. ARQUITETURA, TOPOGRAFIA E ENGENHARIA LDA</t>
  </si>
  <si>
    <t xml:space="preserve">Michael Mocho dos Santos</t>
  </si>
  <si>
    <t xml:space="preserve">HQMT ATELIER LDA</t>
  </si>
  <si>
    <t xml:space="preserve">Exigência Pioneira - Engenharia Construção Unipessoal, Lda.</t>
  </si>
  <si>
    <t xml:space="preserve">Hous3.Arquitectura, Unipessoal, Lda.</t>
  </si>
  <si>
    <t xml:space="preserve">Sandra Cavaleiro Arquiteta, Unipessoal, Lda</t>
  </si>
  <si>
    <t xml:space="preserve">R2P Consultoria Lda.</t>
  </si>
  <si>
    <t xml:space="preserve">Manuel Ângelo Bastos de Andrade Marques</t>
  </si>
  <si>
    <t xml:space="preserve">A.L.M.A., Unipessoal, Lda.</t>
  </si>
  <si>
    <t xml:space="preserve">Martins &amp; Filhos, S.A.</t>
  </si>
  <si>
    <t xml:space="preserve">MGLS - Soluções de Energias Renováveis</t>
  </si>
  <si>
    <t xml:space="preserve">ClimaCruz-Instalação Ar Condicionado e Ventilação, Lda</t>
  </si>
  <si>
    <t xml:space="preserve">Sioslife, S.A.</t>
  </si>
  <si>
    <t xml:space="preserve">Senergil - Serviços de Energia, Ldª.</t>
  </si>
  <si>
    <t xml:space="preserve">Rcsoft - Sistemas de Informação Unipessoal, Lda</t>
  </si>
  <si>
    <t xml:space="preserve">Inforvez</t>
  </si>
  <si>
    <t xml:space="preserve">Sincelo</t>
  </si>
  <si>
    <t xml:space="preserve">Mercatura Tecnologias de Informação LDA</t>
  </si>
  <si>
    <t xml:space="preserve">ATL Minho, Unipessoal, Lda</t>
  </si>
  <si>
    <t xml:space="preserve">HOVO Comunicativo, Lda</t>
  </si>
  <si>
    <t xml:space="preserve">Minhomática – Formação Profissional e Informática, Lda.</t>
  </si>
  <si>
    <t xml:space="preserve">Inovar</t>
  </si>
  <si>
    <t xml:space="preserve">Vitor Manuel Amorim Gonçalves (Repara Pc Avv)</t>
  </si>
  <si>
    <t xml:space="preserve">Paulo Alexandre dos Reis Martins</t>
  </si>
  <si>
    <t xml:space="preserve">MICROBASTO- Informática e Telecomunicações, LDA</t>
  </si>
  <si>
    <t xml:space="preserve">Frenétikódigo – Software, Lda</t>
  </si>
  <si>
    <t xml:space="preserve">Ajuste direto simplificado ao abrigo da Lei n.º 30/2021, de 21.05</t>
  </si>
  <si>
    <t xml:space="preserve">Intuitivo Unipessoal Lda</t>
  </si>
  <si>
    <t xml:space="preserve">Mestreclique - Sistema de Informação, Lda</t>
  </si>
  <si>
    <t xml:space="preserve">Teorema Vertical Unipessoal Lda</t>
  </si>
  <si>
    <t xml:space="preserve">LUÍS CORREIA BARBOSA - ENGENHARIA, UNIPESSOAL LDA</t>
  </si>
  <si>
    <t xml:space="preserve">MIGUEL MELO ARQUITETURA LDA</t>
  </si>
  <si>
    <t xml:space="preserve">Paulo Ricardo &amp; João Tiago - Arquitectos, Lda.</t>
  </si>
  <si>
    <t xml:space="preserve">MOOVE, ARQUITETOS, LDA</t>
  </si>
  <si>
    <t xml:space="preserve">Filipe Machado</t>
  </si>
  <si>
    <t xml:space="preserve">DEXTROSE, LTD</t>
  </si>
  <si>
    <t xml:space="preserve">Nível Índice - Construção e Engenharia, Lda.</t>
  </si>
  <si>
    <t xml:space="preserve">INELSA - Instalações Eletricas e Sanitárias, Lda</t>
  </si>
  <si>
    <t xml:space="preserve">2025-05-23</t>
  </si>
  <si>
    <t xml:space="preserve">PC.160.2024.0001390 - CB 1025 - Aquisição de Serviços de Fiscalização e Coordenação de Segurança em Obra da Empreitada "</t>
  </si>
  <si>
    <t xml:space="preserve">Guimarães &amp; Couceiro | Soluções de Engenharia e Manutenção</t>
  </si>
  <si>
    <t xml:space="preserve">PC.160.2024.0001391 - CB 1025 - Aquisição de Serviços de Fiscalização e Coordenação de Segurança em Obra da Empreitada "</t>
  </si>
  <si>
    <t xml:space="preserve">PC.160.2024.0001392 - CB 1025 - Aquisição de Serviços de Fiscalização e Coordenação de Segurança em Obra da Empreitada "</t>
  </si>
  <si>
    <t xml:space="preserve">ICONIC CODE, Eng arq, Lda</t>
  </si>
  <si>
    <t xml:space="preserve">TOP HL – Estudos Topográficos, Unipessoal Lda,</t>
  </si>
  <si>
    <t xml:space="preserve">GEP ? A. Matos Ferreira Unipessoal, Lda.</t>
  </si>
  <si>
    <t xml:space="preserve">Quadrante de Sabedoria, Lda.</t>
  </si>
  <si>
    <t xml:space="preserve">TEG CONSULTORES DE ENGENHARIA LDA</t>
  </si>
  <si>
    <t xml:space="preserve">INOVAR+AZ- Sistemas de Informação, Lda</t>
  </si>
  <si>
    <t xml:space="preserve">RFS Telecomunicações, Lda.</t>
  </si>
  <si>
    <t xml:space="preserve">CTT EXPRESSO - SERVIÇOS POSTAIS E LOGISTICA, S.A.</t>
  </si>
  <si>
    <t xml:space="preserve">Vimaponto Equipam.e Serviços Inform.lda.</t>
  </si>
  <si>
    <t xml:space="preserve">José Luís Proença Alves</t>
  </si>
  <si>
    <t xml:space="preserve">SEBASTIÃO DA ROCHA BARBOSA, LDA</t>
  </si>
  <si>
    <t xml:space="preserve">BRANDIT DIGITAL MEDIA SERVICES, LDA.</t>
  </si>
  <si>
    <t xml:space="preserve">Datamind</t>
  </si>
  <si>
    <t xml:space="preserve">Sigadata Disruptive Cat Lda</t>
  </si>
  <si>
    <t xml:space="preserve">Valor total (€)</t>
  </si>
  <si>
    <t xml:space="preserve">Principais clientes</t>
  </si>
  <si>
    <t xml:space="preserve">508303451</t>
  </si>
  <si>
    <t xml:space="preserve">software_ti (32)</t>
  </si>
  <si>
    <t xml:space="preserve">Agrupamento de Escolas de Fermentões, Guimarães (6); Agrupamento de Escolas de Amares (3); Escola Artística Cons.Música Calouste Gulbenkian (2); Coopetape - Cooperativa de Ensino, CRL (2)</t>
  </si>
  <si>
    <t xml:space="preserve">505331187</t>
  </si>
  <si>
    <t xml:space="preserve">software_ti (22)</t>
  </si>
  <si>
    <t xml:space="preserve">Município de Caminha (4); Município de Esposende (3); Município de Guimarães (3); Unidade Local Saúde de Braga, E.P.E. (2)</t>
  </si>
  <si>
    <t xml:space="preserve">504615947</t>
  </si>
  <si>
    <t xml:space="preserve">software_ti (14), eletricidade (6), seguranca_incendio (1)</t>
  </si>
  <si>
    <t xml:space="preserve">Empresa Municipal de Educação e Cultura de Barcelos, E. M. (2); Agrupamento de Escolas D. Sancho I, Vila Nova de Famalicão (2); Unidade Local de Saúde de Barcelos/Esposende, EPE (1); Unidade Local Saúde de Braga, E.P.E. (1)</t>
  </si>
  <si>
    <t xml:space="preserve">510874169</t>
  </si>
  <si>
    <t xml:space="preserve">software_ti (20), eletricidade (1)</t>
  </si>
  <si>
    <t xml:space="preserve">Unidade Local de Saúde do Alto Minho, EPE (ULSAM) (6); Município de Vila Nova de Famalicão (3); Unidade Local de Saúde do Alto Minho, EPE (2); Unidade Local de Saúde do Médio Ave, E.P.E. (2)</t>
  </si>
  <si>
    <t xml:space="preserve">506210855</t>
  </si>
  <si>
    <t xml:space="preserve">software_ti (19)</t>
  </si>
  <si>
    <t xml:space="preserve">Município de Fafe (3); Município de Arcos de Valdevez (3); Águas do Norte, SA (3); Unidade Local de Saúde do Médio Ave, E.P.E. (2)</t>
  </si>
  <si>
    <t xml:space="preserve">501497889</t>
  </si>
  <si>
    <t xml:space="preserve">eletricidade (18), mobilidade_eletrica (2)</t>
  </si>
  <si>
    <t xml:space="preserve">Município de Vila Nova de Famalicão (3); Município de Braga (3); Município de Ponte de Lima (2); Município de Viana do Castelo (2)</t>
  </si>
  <si>
    <t xml:space="preserve">503063851</t>
  </si>
  <si>
    <t xml:space="preserve">software_ti (14), eletricidade (2)</t>
  </si>
  <si>
    <t xml:space="preserve">CASFIG - Coordenação de Âmbito Social e Financeiro das Habitações do Município de Guimarães, E.M., Unipessoal, Lda. (1); Município de Amares (1); Escola Secundária de Caldas das Taipas, Guimarães (1); Município de Vila Verde (1)</t>
  </si>
  <si>
    <t xml:space="preserve">503536717</t>
  </si>
  <si>
    <t xml:space="preserve">software_ti (14)</t>
  </si>
  <si>
    <t xml:space="preserve">Município de Melgaço (4); Município de Ponte de Lima (2); Município de Monção (2); Município de Terras de Bouro (2)</t>
  </si>
  <si>
    <t xml:space="preserve">projeto (12), eletricidade (3)</t>
  </si>
  <si>
    <t xml:space="preserve">Município de Celorico de Basto (4); Unidade Local de Saúde do Alto Minho, EPE (4); Unidade Local de Saúde do Alto Ave, E. P. E. (3); Unidade Local de Saúde do Médio Ave, EPE (1)</t>
  </si>
  <si>
    <t xml:space="preserve">503888460</t>
  </si>
  <si>
    <t xml:space="preserve">projeto (13)</t>
  </si>
  <si>
    <t xml:space="preserve">Município de Braga (3); TUB - Empresa Transportes Urbanos de Braga (2); Município da Póvoa de Lanhoso (2); INSTITUTO DE GESTÃO FINANCEIRA E EQUIPAMENTOS DA J (1)</t>
  </si>
  <si>
    <t xml:space="preserve">501493336</t>
  </si>
  <si>
    <t xml:space="preserve">eletricidade (12), projeto (1)</t>
  </si>
  <si>
    <t xml:space="preserve">Município de Guimarães (5); Município de Vila Nova de Famalicão (2); Município de Esposende (1); Município de Barcelos (1)</t>
  </si>
  <si>
    <t xml:space="preserve">508496870</t>
  </si>
  <si>
    <t xml:space="preserve">software_ti (12)</t>
  </si>
  <si>
    <t xml:space="preserve">Município de Guimarães (2); Município de Monção (2); Universidade do Minho (2); Município da Póvoa de Lanhoso (1)</t>
  </si>
  <si>
    <t xml:space="preserve">502413603</t>
  </si>
  <si>
    <t xml:space="preserve">software_ti (11)</t>
  </si>
  <si>
    <t xml:space="preserve">Município de Melgaço (2); Escola Profissional Amar Terra Verde, Lda (1); Município de Monção (1); Município de Fafe (1)</t>
  </si>
  <si>
    <t xml:space="preserve">504904493</t>
  </si>
  <si>
    <t xml:space="preserve">software_ti (10), eletricidade (1)</t>
  </si>
  <si>
    <t xml:space="preserve">Instituto Politécnico do Cávado e do Ave (4); Instituto Politécnico de Viana do Castelo (2); Município de Caminha (2); Centro de Formação Profissional da Indústria Têxtil, Vestuário, Confecção e Lanifícios (MODATEX) (1)</t>
  </si>
  <si>
    <t xml:space="preserve">507714580</t>
  </si>
  <si>
    <t xml:space="preserve">projeto (10)</t>
  </si>
  <si>
    <t xml:space="preserve">Unidade Local de Saúde do Médio Ave, E.P.E. (3); Santa Casa da Misericórdia da Póvoa de Lanhoso (2); IRMANDADE DA SANTA CASA DA MISERICÓRDIA DE RIBA D'AVE (2); Santa Casa da Misericórdia de Barcelos (1)</t>
  </si>
  <si>
    <t xml:space="preserve">Maxiglobal Equipamentos e Serviços de Informática S.A.</t>
  </si>
  <si>
    <t xml:space="preserve">504320882</t>
  </si>
  <si>
    <t xml:space="preserve">eletricidade (8), software_ti (5), projeto (1), seguranca_incendio (1)</t>
  </si>
  <si>
    <t xml:space="preserve">Município de Braga (4); Instituto Politécnico do Cávado e do Ave (2); Unidade Local de Saúde do Médio Ave, E.P.E. (1); Universidade do Minho (1)</t>
  </si>
  <si>
    <t xml:space="preserve">503040630</t>
  </si>
  <si>
    <t xml:space="preserve">Município de Monção (2); MUNICÍPIO DE VILA NOVA DE FAMALICÃO (1); IGFEJ-Instituto de Gestão Financeira e Equipamentos da Justiça (1); Património Cultural, IP (1)</t>
  </si>
  <si>
    <t xml:space="preserve">504827715</t>
  </si>
  <si>
    <t xml:space="preserve">software_ti (9)</t>
  </si>
  <si>
    <t xml:space="preserve">Escola Profissional Amar Terra Verde, L.da (2); Município da Póvoa de Lanhoso (1); Município de Barcelos (1); Escola Profissional Amar Terra Verde, Lda (1)</t>
  </si>
  <si>
    <t xml:space="preserve">ART CES - UNIPESSOAL, LDA.</t>
  </si>
  <si>
    <t xml:space="preserve">513270396</t>
  </si>
  <si>
    <t xml:space="preserve">Unidade Local de Saúde do Médio Ave, EPE (1); Unidade Local de Saúde de Braga, EPE (1); Unidade Local de Saúde do Alto Ave, EPE (1); Unidade Local de Saúde do Alto Minho, EPE (1)</t>
  </si>
  <si>
    <t xml:space="preserve">Primavera</t>
  </si>
  <si>
    <t xml:space="preserve">503140600</t>
  </si>
  <si>
    <t xml:space="preserve">AGERE – Emp. Águas, Efluentes e Resíduos de Braga (3); Serviços de Ação Social da Universidade do Minho (2); Associação Empresarial de Fafe, Cabeceiras de Basto e Celorico de Basto (1); Vitrus Ambiente, EM, SA (1)</t>
  </si>
  <si>
    <t xml:space="preserve">508453259</t>
  </si>
  <si>
    <t xml:space="preserve">software_ti (8), eletricidade (1)</t>
  </si>
  <si>
    <t xml:space="preserve">Município de Vieira do Minho (3); ADEMINHO - Associação para o Desenvolvimento do Ensino Profissional do Alto Minho Interior (2); Agência Nacional para a Gestão do Programa Erasmus + Juventude/Desporto e Corpo Europeu de Solidariedade (1); GTI Portugal - Formação Profissional, S. A. (1)</t>
  </si>
  <si>
    <t xml:space="preserve">Medidata.net - Sistemas de Informação para Autarquias, S.A.</t>
  </si>
  <si>
    <t xml:space="preserve">504990926</t>
  </si>
  <si>
    <t xml:space="preserve">Município de Vieira do Minho (2); Município de Caminha (2); Município de Guimarães (1); Município da Póvoa de Lanhoso (1)</t>
  </si>
  <si>
    <t xml:space="preserve">508775876</t>
  </si>
  <si>
    <t xml:space="preserve">software_ti (7), eletricidade (2), seguranca_incendio (2)</t>
  </si>
  <si>
    <t xml:space="preserve">Escola Secundária Henrique Medina, Esposende (1); Agrupamento de Escolas do Viso, Porto (1); Município de Barcelos (1); Agrupamento de Escolas de Ponte de Lima (1)</t>
  </si>
  <si>
    <t xml:space="preserve">518498107</t>
  </si>
  <si>
    <t xml:space="preserve">software_ti (8)</t>
  </si>
  <si>
    <t xml:space="preserve">Unidade Local de Saúde do Médio Ave, E.P.E. (3); Unidade Local de Saúde do Alto Minho, EPE (ULSAM) (2); Unidade Local de Saúde Barcelos/Esposende, E.P.E. (1); Unidade Local Saúde de Braga, E.P.E. (1)</t>
  </si>
  <si>
    <t xml:space="preserve">503909637</t>
  </si>
  <si>
    <t xml:space="preserve">software_ti (7), projeto (1)</t>
  </si>
  <si>
    <t xml:space="preserve">Município de Vila Nova de Famalicão (2); Município de Cabeceiras de Basto (2); Município de Ponte da Barca (1); Município de Vila Verde (1)</t>
  </si>
  <si>
    <t xml:space="preserve">504813480</t>
  </si>
  <si>
    <t xml:space="preserve">Município de Vila Verde (2); Município de Esposende (2); Município de Cabeceiras de Basto (2); Município de Guimarães (1)</t>
  </si>
  <si>
    <t xml:space="preserve">502604751</t>
  </si>
  <si>
    <t xml:space="preserve">Município da Póvoa de Lanhoso (2); Município de Guimarães (1); Unidade Local de Saúde do Alto Ave, E.P.E (1); Município de Vila Verde (1)</t>
  </si>
  <si>
    <t xml:space="preserve">504394029</t>
  </si>
  <si>
    <t xml:space="preserve">eletricidade (7), projeto (2), mobilidade_eletrica (1)</t>
  </si>
  <si>
    <t xml:space="preserve">Município de Vila Nova de Famalicão (3); Município de Monção (2); Município de Braga (1); Município de Celorico de Basto (1)</t>
  </si>
  <si>
    <t xml:space="preserve">MAXDATA SOFTWARE, S.A.</t>
  </si>
  <si>
    <t xml:space="preserve">502250259</t>
  </si>
  <si>
    <t xml:space="preserve">software_ti (7)</t>
  </si>
  <si>
    <t xml:space="preserve">Unidade Local de Saúde do Alto Ave, EPE (2); Unidade Local de Saúde Barcelos/Esposende, E.P.E. (1); Unidade Local de Saúde do Alto Minho, EPE (1); Unidade Local Saúde de Braga, E.P.E. (1)</t>
  </si>
  <si>
    <t xml:space="preserve">513246290</t>
  </si>
  <si>
    <t xml:space="preserve">Unidade Local de Saúde do Médio Ave, E.P.E. (2); Unidade Local de Saúde de Barcelos/Esposende, EPE (1); Unidade Local Saúde de Braga, E.P.E. (1); Unidade Local de Saúde do Alto Ave, E.P.E (1)</t>
  </si>
  <si>
    <t xml:space="preserve">Paula Elisabete Dias Bacelar</t>
  </si>
  <si>
    <t xml:space="preserve">eletricidade (6), fotovoltaico (1)</t>
  </si>
  <si>
    <t xml:space="preserve">J. Canão, Lda (6); J. Canão, L.da (1)</t>
  </si>
  <si>
    <t xml:space="preserve">516104659</t>
  </si>
  <si>
    <t xml:space="preserve">Município de Cabeceiras de Basto (2); Município de Vizela (1); Município de Braga (1); Munícipio de Fafe (1)</t>
  </si>
  <si>
    <t xml:space="preserve">501378669</t>
  </si>
  <si>
    <t xml:space="preserve">Município de Melgaço (3); Município de Monção (2); Município de Valença (1); Município de Vila Verde (1)</t>
  </si>
  <si>
    <t xml:space="preserve">ST+I -SERV.TECNICOS INFORMATIC</t>
  </si>
  <si>
    <t xml:space="preserve">502246995</t>
  </si>
  <si>
    <t xml:space="preserve">Unidade Local de Saúde do Alto Minho, EPE (ULSAM) (2); Unidade Local de Saúde do Médio Ave, E.P.E. (2); Unidade Local de Saúde do Médio Ave, EPE (1); Unidade Local de Saúde do Alto Ave, E.P.E (1)</t>
  </si>
  <si>
    <t xml:space="preserve">514916451</t>
  </si>
  <si>
    <t xml:space="preserve">Universidade do Minho (3); PIEP Associação Pólo de Inovação em Engenharia de Polímeros (2); Instituto Politécnico de Viana do Castelo (1); Associação Laboratório Colaborativo em Transformação Digital - DTX (1)</t>
  </si>
  <si>
    <t xml:space="preserve">506172813</t>
  </si>
  <si>
    <t xml:space="preserve">software_ti (6)</t>
  </si>
  <si>
    <t xml:space="preserve">AGERE- Empresa de Águas Efluentes e Resíduos de Braga, EM (3); Município de Terras de Bouro (1); AGERE – Emp. Águas, Efluentes e Resíduos de Braga (1); Município de Ponte da Barca (1)</t>
  </si>
  <si>
    <t xml:space="preserve">514125306</t>
  </si>
  <si>
    <t xml:space="preserve">projeto (6)</t>
  </si>
  <si>
    <t xml:space="preserve">INSTITUTO DE GESTÃO FINANCEIRA E EQUIPAMENTOS DA J (2); BRAGAHABIT - Empresa Municipal de Habitação de Braga, EM (1); Escola Profissional Amar Terra Verde, Lda (1); INSTITUTO DE GESTÃO FINANCEIRA E EQUIPAMENTOS DA JUSTIÇA, I.P. (1)</t>
  </si>
  <si>
    <t xml:space="preserve">506951405</t>
  </si>
  <si>
    <t xml:space="preserve">Unidade Local de Saúde do Médio Ave, E.P.E. (3); Unidade Local Saúde de Braga, E.P.E. (1); Unidade Local de Saúde do Alto Ave, E.P.E (1); Unidade Local de Saúde do Alto Ave, E. P. E. (1)</t>
  </si>
  <si>
    <t xml:space="preserve">514360194</t>
  </si>
  <si>
    <t xml:space="preserve">Agrupamento de Escolas Gonçalo Nunes, Barcelos (2); Agrupamento de Escolas Alcaides de Faria (1); Unidade Local de Saúde do Alto Ave, EPE (1); Instituto São João de Deus (1)</t>
  </si>
  <si>
    <t xml:space="preserve">510728189</t>
  </si>
  <si>
    <t xml:space="preserve">Município de Celorico de Basto (2); Município de Paredes de Coura (1); Município de Barcelos (1); Instituto Politécnico do Cávado e do Ave (1)</t>
  </si>
  <si>
    <t xml:space="preserve">506188841</t>
  </si>
  <si>
    <t xml:space="preserve">Unidade Local de Saúde do Alto Ave, EPE (1); Unidade Local de Saúde de Braga, EPE (1); Unidade Local de Saúde do Médio Ave, EPE (1); Unidade Local de Saúde do Alto Minho, EPE (ULSAM) (1)</t>
  </si>
  <si>
    <t xml:space="preserve">513090720</t>
  </si>
  <si>
    <t xml:space="preserve">A Oficina Centro de Artes e Mesteres Tradicionais de Guimarães, CIPRL (4); AGERE- Empresa de Águas Efluentes e Resíduos de Braga, E. M. (1); Vitrus Ambiente, E. M., S. A. (1)</t>
  </si>
  <si>
    <t xml:space="preserve">BASE2, LDA</t>
  </si>
  <si>
    <t xml:space="preserve">501333401</t>
  </si>
  <si>
    <t xml:space="preserve">Unidade Local de Saúde do Alto Ave, EPE (2); Unidade Local de Saúde do Médio Ave, E.P.E. (1); Município de Barcelos (1); Instituto Politécnico de Viana do Castelo (1)</t>
  </si>
  <si>
    <t xml:space="preserve">504308289</t>
  </si>
  <si>
    <t xml:space="preserve">Município de Caminha (3); Instituto São João de Deus (1); Município de Paredes de Coura (1); Município de Terras de Bouro (1)</t>
  </si>
  <si>
    <t xml:space="preserve">IDRYL Consulting, Lda</t>
  </si>
  <si>
    <t xml:space="preserve">508888093</t>
  </si>
  <si>
    <t xml:space="preserve">Unidade Local de Saúde do Alto Minho, EPE (ULSAM) (2); Unidade Local de Saúde do Alto Ave, E.P.E (2); Unidade Local de Saúde do Médio Ave, E.P.E. (1); Unidade Local de Saúde do Alto Ave, E. P. E. (1)</t>
  </si>
  <si>
    <t xml:space="preserve">509117660</t>
  </si>
  <si>
    <t xml:space="preserve">software_ti (5), eletricidade (1)</t>
  </si>
  <si>
    <t xml:space="preserve">Unidade Local de Saúde do Médio Ave, E.P.E. (1); Município de Barcelos (1); Município de Terras de Bouro (1); Unidade Local de Saúde do Alto Minho, E. P. E. (1)</t>
  </si>
  <si>
    <t xml:space="preserve">505076110</t>
  </si>
  <si>
    <t xml:space="preserve">Associação Maconde - Braga (1); Associação Sócio-Cultural de São Gens de Salamonde (1); Centro Social da Paróquia de Souto (1); ACARF - Associação Social Cultural Artística e Recreativa de Forjães (1)</t>
  </si>
  <si>
    <t xml:space="preserve">VirtualCare, Lda.</t>
  </si>
  <si>
    <t xml:space="preserve">510394639</t>
  </si>
  <si>
    <t xml:space="preserve">Unidade Local de Saúde do Alto Minho, EPE (ULSAM) (2); Unidade Local de Saúde do Médio Ave, E.P.E. (1); Instituto Politécnico de Viana do Castelo (1); Unidade Local de Saúde do Alto Ave, E. P. E. (1)</t>
  </si>
  <si>
    <t xml:space="preserve">504112686</t>
  </si>
  <si>
    <t xml:space="preserve">software_ti (5)</t>
  </si>
  <si>
    <t xml:space="preserve">Município de Celorico de Basto (2); Agrupamento de Escolas de Cabeceiras de Basto (1); Escola Profissional Agrícola Eng.º Silva Nunes, Molares - Celorico de Basto (1); Município de Cabeceiras de Basto (1)</t>
  </si>
  <si>
    <t xml:space="preserve">514591102</t>
  </si>
  <si>
    <t xml:space="preserve">Serviços Municipalizados de Viana do Castelo (1); Instituto Politécnico de Viana do Castelo (1); Município de Arcos de Valdevez (1); Município de Viana do Castelo (1)</t>
  </si>
  <si>
    <t xml:space="preserve">510174132</t>
  </si>
  <si>
    <t xml:space="preserve">Município de Ponte da Barca (2); Município de Esposende (1); Município de Barcelos (1); Município de Ponte de Lima (1)</t>
  </si>
  <si>
    <t xml:space="preserve">502539909</t>
  </si>
  <si>
    <t xml:space="preserve">AGERE – Emp. Águas, Efluentes e Resíduos de Braga (4); Vimágua - Empresa de Água e Saneamento de Guimarães e Vizela, EIM, SA (1)</t>
  </si>
  <si>
    <t xml:space="preserve">509101143</t>
  </si>
  <si>
    <t xml:space="preserve">Universidade do Minho (2); Instituto Politécnico do Cávado e do Ave (1); CENTITVC - Centro de Nanotecnologia e Materiais Técnicos, Funcionais e Inteligentes (1); PIEP Associação Pólo de Inovação em Engenharia de Polímeros (1)</t>
  </si>
  <si>
    <t xml:space="preserve">505355760</t>
  </si>
  <si>
    <t xml:space="preserve">Município de Ponte de Lima (2); Município de Arcos de Valdevez (2); AF - ÁGUAS DE FAFE, E.M. (1)</t>
  </si>
  <si>
    <t xml:space="preserve">Shortcut, Lda.</t>
  </si>
  <si>
    <t xml:space="preserve">505106841</t>
  </si>
  <si>
    <t xml:space="preserve">Município de Vizela (2); Município de Caminha (1); Município de Terras de Bouro (1); Município de Vila Nova de Famalicão (1)</t>
  </si>
  <si>
    <t xml:space="preserve">517896982</t>
  </si>
  <si>
    <t xml:space="preserve">Agrupamento de Escolas Alberto Sampaio, Braga (3); Agrupamento de Escolas de Braga Oeste (1); Agrupamento de Escolas Carlos Amarante, Braga (1)</t>
  </si>
  <si>
    <t xml:space="preserve">RIOBOCO - Serviços Gerais, engenharia e Manutenção, S.A.,</t>
  </si>
  <si>
    <t xml:space="preserve">513246002</t>
  </si>
  <si>
    <t xml:space="preserve">projeto (5)</t>
  </si>
  <si>
    <t xml:space="preserve">Município de Braga (2); AGERE- Empresa de Águas Efluentes e Resíduos de Braga, EM (1); A. D. A. M. - Águas do Alto Minho, SA (1); AGERE- Empresa de Águas Efluentes e Resíduos de Braga, E. M. (1)</t>
  </si>
  <si>
    <t xml:space="preserve">506211029</t>
  </si>
  <si>
    <t xml:space="preserve">eletricidade (4), projeto (4), fotovoltaico (1), software_ti (1)</t>
  </si>
  <si>
    <t xml:space="preserve">Município de Paredes de Coura (4); Santa Casa da Misericórdia de Paredes de Coura (1)</t>
  </si>
  <si>
    <t xml:space="preserve">WARPCOM SERVICES, S.A.</t>
  </si>
  <si>
    <t xml:space="preserve">505134195</t>
  </si>
  <si>
    <t xml:space="preserve">Universidade do Minho (2); Câmara Municipal de Braga (1); Unidade Local de Saúde do Alto Ave, E. P. E. (1); Município de Ponte de Lima (1)</t>
  </si>
  <si>
    <t xml:space="preserve">Ricoh Portugal It Serviçes, Lda</t>
  </si>
  <si>
    <t xml:space="preserve">504099388</t>
  </si>
  <si>
    <t xml:space="preserve">Município de Braga (2); PIEP Associação Pólo de Inovação em Engenharia de Polímeros (2); CIM do Ave - Comunidade Intermunicipal do Ave (1)</t>
  </si>
  <si>
    <t xml:space="preserve">A2O ÁGUA , AMBIENTE E ORGANIZAÇÃO, LIMITADA</t>
  </si>
  <si>
    <t xml:space="preserve">503075736</t>
  </si>
  <si>
    <t xml:space="preserve">Águas do Norte, SA (2); Município de Amares (2); Município de Fafe (1)</t>
  </si>
  <si>
    <t xml:space="preserve">505044897</t>
  </si>
  <si>
    <t xml:space="preserve">eletricidade (4), software_ti (1)</t>
  </si>
  <si>
    <t xml:space="preserve">A. D. A. M. - Águas do Alto Minho, S. A. (3); A. D. A. M. - Águas do Alto Minho, SA (2)</t>
  </si>
  <si>
    <t xml:space="preserve">515615021</t>
  </si>
  <si>
    <t xml:space="preserve">Instituto Politécnico de Viana do Castelo (2); Serviços de Acção Social do Instituto Politécnico de Viana do Castelo (1); Serviços de Ação Social do Instituto Politécnico de Viana do Castelo (1); Instituto Politécnico do Cávado e do Ave (1)</t>
  </si>
  <si>
    <t xml:space="preserve">500883750</t>
  </si>
  <si>
    <t xml:space="preserve">eletricidade (5)</t>
  </si>
  <si>
    <t xml:space="preserve">Águas do Norte, SA (2); Ensiprof - Ensino e Formação Profissional, Lda (1); Município de Barcelos (1); Município de Braga (1)</t>
  </si>
  <si>
    <t xml:space="preserve">I-Sete Inovação Soluções Económicas e Tecnologias Ecológicas, Lda</t>
  </si>
  <si>
    <t xml:space="preserve">507513908</t>
  </si>
  <si>
    <t xml:space="preserve">eletricidade (4), fotovoltaico (2)</t>
  </si>
  <si>
    <t xml:space="preserve">Município de Braga (3); Município de Guimarães (1); Universidade do Minho (1)</t>
  </si>
  <si>
    <t xml:space="preserve">NSOFT - SOLUÇÕES E INTEGRAÇÃO DE SISTEMAS, LDA</t>
  </si>
  <si>
    <t xml:space="preserve">508221099</t>
  </si>
  <si>
    <t xml:space="preserve">TUB - Empresa Transportes Urbanos de Braga (2); TUB - Transportes Urbanos de Braga, EM (1); BRAGAHABIT - Empresa Municipal de Habitação de Braga, E. M. (1); TUB - Transportes Urbanos de Braga, E. M. (1)</t>
  </si>
  <si>
    <t xml:space="preserve">513770267</t>
  </si>
  <si>
    <t xml:space="preserve">projeto (4)</t>
  </si>
  <si>
    <t xml:space="preserve">Fundação para a Ciência e a Tecnologia, IP (1); Instituto para os Comportamentos Aditivios e as Dependências, I.P. (ICAD, I.P.) (1); Município de Barcelos (1); Fundação para a Ciência e a Tecnologia, I. P. (1)</t>
  </si>
  <si>
    <t xml:space="preserve">518607429</t>
  </si>
  <si>
    <t xml:space="preserve">software_ti (3), eletricidade (1), seguranca_incendio (1)</t>
  </si>
  <si>
    <t xml:space="preserve">Escola Profissional de Fermil, Celorico de Basto. (2); Escola Profissional Agrícola Eng.º Silva Nunes, Molares - Celorico de Basto (1); Agrupamento de Escolas de Cabeceiras de Basto (1)</t>
  </si>
  <si>
    <t xml:space="preserve">513355855</t>
  </si>
  <si>
    <t xml:space="preserve">software_ti (4)</t>
  </si>
  <si>
    <t xml:space="preserve">Município de Braga (1); Município de Fafe (1); Município de Guimarães (1); Município de Barcelos (1)</t>
  </si>
  <si>
    <t xml:space="preserve">502888539</t>
  </si>
  <si>
    <t xml:space="preserve">eletricidade (2), seguranca_incendio (1), software_ti (1)</t>
  </si>
  <si>
    <t xml:space="preserve">Município de Braga (1); Município de Terras de Bouro (1); Município de Barcelos (1); Universidade do Minho (1)</t>
  </si>
  <si>
    <t xml:space="preserve">516165887</t>
  </si>
  <si>
    <t xml:space="preserve">Município de Fafe (1); Município de Paredes de Coura (1); Município de Esposende (1); Município de Barcelos (1)</t>
  </si>
  <si>
    <t xml:space="preserve">510267440</t>
  </si>
  <si>
    <t xml:space="preserve">EAmb - Esposende Ambiente, EM (1); Município de Viana do Castelo (1); Município de Ponte da Barca (1); Município de Esposende (1)</t>
  </si>
  <si>
    <t xml:space="preserve">502425296</t>
  </si>
  <si>
    <t xml:space="preserve">Agrupamento de Escolas Dr. Francisco Sanches (2); Universidade do Minho (2)</t>
  </si>
  <si>
    <t xml:space="preserve">517990270</t>
  </si>
  <si>
    <t xml:space="preserve">Município de Guimarães (3); Laboratório da Paisagem de Guimarães - Associação para a Promoção do Desenvolvimento Sustentável (1)</t>
  </si>
  <si>
    <t xml:space="preserve">507650387</t>
  </si>
  <si>
    <t xml:space="preserve">projeto (2), software_ti (2)</t>
  </si>
  <si>
    <t xml:space="preserve">AGERE- Empresa de Águas Efluentes e Resíduos de Braga, EM (1); Município de Guimarães (1); Instituto Politécnico de Viana do Castelo (1); Universidade do Minho (1)</t>
  </si>
  <si>
    <t xml:space="preserve">501941231</t>
  </si>
  <si>
    <t xml:space="preserve">Município de Fafe (1); Águas do Norte, SA (1); AGERE- Empresa de Águas Efluentes e Resíduos de Braga, EM (1); Município de Amares (1)</t>
  </si>
  <si>
    <t xml:space="preserve">501213350</t>
  </si>
  <si>
    <t xml:space="preserve">AGERE – Emp. Águas, Efluentes e Resíduos de Braga (1); Município de Vila Verde (1); Município de Vieira do Minho (1); Águas do Norte, S. A. (1)</t>
  </si>
  <si>
    <t xml:space="preserve">IT Peers - Serviços em Tecnologias de Informação, SA</t>
  </si>
  <si>
    <t xml:space="preserve">507032110</t>
  </si>
  <si>
    <t xml:space="preserve">AGERE- Empresa de Águas Efluentes e Resíduos de Braga, EM (2); Município de Braga (1); Vimágua - Empresa de Água e Saneamento de Guimarães e Vizela, EIM, SA (1)</t>
  </si>
  <si>
    <t xml:space="preserve">513138188</t>
  </si>
  <si>
    <t xml:space="preserve">Tempo Livre Fisical - Centro Comunitário de Desporto e Tempos Livres, CIPRL (1); Município de Braga (1); Serviços de Acção Social da Universidade do Minho (1); Esposende 2000 - Actividades Desportivas e Recreativas (1)</t>
  </si>
  <si>
    <t xml:space="preserve">Interfire, Lda.</t>
  </si>
  <si>
    <t xml:space="preserve">509033237</t>
  </si>
  <si>
    <t xml:space="preserve">seguranca_incendio (4)</t>
  </si>
  <si>
    <t xml:space="preserve">Município de Terras de Bouro (4)</t>
  </si>
  <si>
    <t xml:space="preserve">Jaime Manuel Fernandes Pancha</t>
  </si>
  <si>
    <t xml:space="preserve">eletricidade (3), fotovoltaico (1)</t>
  </si>
  <si>
    <t xml:space="preserve">J. Canão, Lda (3); J. Canão, L.da (1)</t>
  </si>
  <si>
    <t xml:space="preserve">513718737</t>
  </si>
  <si>
    <t xml:space="preserve">eletricidade (3), software_ti (1)</t>
  </si>
  <si>
    <t xml:space="preserve">Águas do Norte, SA (3); Águas do Norte, S. A. (1)</t>
  </si>
  <si>
    <t xml:space="preserve">BoldApps, LDA</t>
  </si>
  <si>
    <t xml:space="preserve">514642130</t>
  </si>
  <si>
    <t xml:space="preserve">Município de Fafe (2); Município de Guimarães (1); Município de Braga (1)</t>
  </si>
  <si>
    <t xml:space="preserve">Attendsys - Soluções Globais de Atendimento</t>
  </si>
  <si>
    <t xml:space="preserve">510306802</t>
  </si>
  <si>
    <t xml:space="preserve">Unidade Local de Saúde do Médio Ave, EPE (1); Unidade Local Saúde de Braga, E.P.E. (1); Unidade Local de Saúde do Alto Minho, EPE (ULSAM) (1); Unidade Local de Saúde de Braga, E. P. E. (1)</t>
  </si>
  <si>
    <t xml:space="preserve">Pmt - coordenação e gestão de projectos</t>
  </si>
  <si>
    <t xml:space="preserve">513959327</t>
  </si>
  <si>
    <t xml:space="preserve">Município de Ponte de Lima (2); Centro de Emprego e Formação Profissional da Amadora (1); Município de Barcelos (1)</t>
  </si>
  <si>
    <t xml:space="preserve">501933840</t>
  </si>
  <si>
    <t xml:space="preserve">Instituto Politécnico de Viana do Castelo (2); Escola Secundária Henrique Medina, Esposende (1); Município de Terras de Bouro (1)</t>
  </si>
  <si>
    <t xml:space="preserve">EDNI - Empresa Distribiudora de Material Informático, Lda</t>
  </si>
  <si>
    <t xml:space="preserve">503258121</t>
  </si>
  <si>
    <t xml:space="preserve">Instituto Politécnico de Viana do Castelo (2); Centro de Formação Profissional da Industria Metalúrgica e Metalomecânica (CENFIM) (1); Instituto Politécnico do Cávado e do Ave (1)</t>
  </si>
  <si>
    <t xml:space="preserve">GLINTT-HEALTHCARE SOLUTIONS,S.A(CPCHS)</t>
  </si>
  <si>
    <t xml:space="preserve">502479418</t>
  </si>
  <si>
    <t xml:space="preserve">Unidade Local de Saúde do Alto Minho, EPE (ULSAM) (2); Unidade Local de Saúde de Braga, E. P. E. (1); Unidade Local Saúde de Braga, E.P.E. (1)</t>
  </si>
  <si>
    <t xml:space="preserve">510105831</t>
  </si>
  <si>
    <t xml:space="preserve">Freguesia de Palmeira (2); Freguesia de Tadim (1); Freguesia de Ruilhe (1)</t>
  </si>
  <si>
    <t xml:space="preserve">Mind Software Multimédia Industrial,SA</t>
  </si>
  <si>
    <t xml:space="preserve">503857769</t>
  </si>
  <si>
    <t xml:space="preserve">Município de Vila Verde (1); Município de Amares (1); Município de Guimarães (1); Município de Barcelos (1)</t>
  </si>
  <si>
    <t xml:space="preserve">508164672</t>
  </si>
  <si>
    <t xml:space="preserve">projeto (3), eletricidade (1)</t>
  </si>
  <si>
    <t xml:space="preserve">MUNICÍPIO DE VILA NOVA DE FAMALICÃO (1); Município de Caminha (1); Ensiprof - Ensino e Formação Profissional, Lda (1); Instituto Politécnico de Viana do Castelo (1)</t>
  </si>
  <si>
    <t xml:space="preserve">BuiltinLT Instalações Especiais, Lda</t>
  </si>
  <si>
    <t xml:space="preserve">517167948</t>
  </si>
  <si>
    <t xml:space="preserve">eletricidade (4)</t>
  </si>
  <si>
    <t xml:space="preserve">Município de Vila Nova de Famalicão (4)</t>
  </si>
  <si>
    <t xml:space="preserve">EASYPOINT - ENGINEERING AND INNOVATION, LDA</t>
  </si>
  <si>
    <t xml:space="preserve">510793266</t>
  </si>
  <si>
    <t xml:space="preserve">Águas do Norte, SA (4)</t>
  </si>
  <si>
    <t xml:space="preserve">ConfigBit- Soluções Tecnológicas, Lda</t>
  </si>
  <si>
    <t xml:space="preserve">513154990</t>
  </si>
  <si>
    <t xml:space="preserve">Município de Cabeceiras de Basto (1); EPAVE - Escola Profissional do Alto Ave, E. M. (1); A. D. A. M. - Águas do Alto Minho, S. A. (1); Instituto Politécnico do Cávado e do Ave (1)</t>
  </si>
  <si>
    <t xml:space="preserve">518310680</t>
  </si>
  <si>
    <t xml:space="preserve">Instituto da Habitação e da Reabilitação Urbana, I. P. (3); Município de Guimarães (1)</t>
  </si>
  <si>
    <t xml:space="preserve">507086546</t>
  </si>
  <si>
    <t xml:space="preserve">seguranca_incendio (2), eletricidade (1)</t>
  </si>
  <si>
    <t xml:space="preserve">Centro de Solidariedade Social de Valdozende (2); Município de Terras de Bouro (1)</t>
  </si>
  <si>
    <t xml:space="preserve">509518788</t>
  </si>
  <si>
    <t xml:space="preserve">software_ti (3)</t>
  </si>
  <si>
    <t xml:space="preserve">Centro Paroquial de Moreira de Cónegos (1); A Oficina Centro de Artes e Mesteres Tradicionais de Guimarães, CIPRL (1); Universidade do Minho (1)</t>
  </si>
  <si>
    <t xml:space="preserve">510847226</t>
  </si>
  <si>
    <t xml:space="preserve">Município de Ponte de Lima (1); União das Freguesias de Nogueira, Fraião e Lamaçães (1); Município de Terras de Bouro (1)</t>
  </si>
  <si>
    <t xml:space="preserve">508820049</t>
  </si>
  <si>
    <t xml:space="preserve">eletricidade (2), seguranca_incendio (1), projeto (1)</t>
  </si>
  <si>
    <t xml:space="preserve">Unidade Local de Saúde de Braga, EPE (3)</t>
  </si>
  <si>
    <t xml:space="preserve">515840432</t>
  </si>
  <si>
    <t xml:space="preserve">eletricidade (3), seguranca_incendio (3)</t>
  </si>
  <si>
    <t xml:space="preserve">Universidade do Minho (3)</t>
  </si>
  <si>
    <t xml:space="preserve">R+D Arquitectura Lda</t>
  </si>
  <si>
    <t xml:space="preserve">506159817</t>
  </si>
  <si>
    <t xml:space="preserve">projeto (3)</t>
  </si>
  <si>
    <t xml:space="preserve">Município de Ponte de Lima (1); Município de Vila Verde (1); Município da Póvoa de Lanhoso (1)</t>
  </si>
  <si>
    <t xml:space="preserve">507790960</t>
  </si>
  <si>
    <t xml:space="preserve">Unidade Local de Saúde do Médio Ave, E.P.E. (2); Unidade Local Saúde de Braga, E.P.E. (1)</t>
  </si>
  <si>
    <t xml:space="preserve">513145796</t>
  </si>
  <si>
    <t xml:space="preserve">AGERE – Emp. Águas, Efluentes e Resíduos de Braga (2); Águas do Norte, S. A. (1)</t>
  </si>
  <si>
    <t xml:space="preserve">A Oficina Centro de Artes e Mesteres Tradicionais de Guimarães, CIPRL (1); CIM do Ave - Comunidade Intermunicipal do Ave (1); PIEP Associação Pólo de Inovação em Engenharia de Polímeros (1)</t>
  </si>
  <si>
    <t xml:space="preserve">501782281</t>
  </si>
  <si>
    <t xml:space="preserve">Águas do Norte, SA (1); Município de Barcelos (1); Unidade Local de Saúde do Alto Minho, EPE (ULSAM) (1)</t>
  </si>
  <si>
    <t xml:space="preserve">508860091</t>
  </si>
  <si>
    <t xml:space="preserve">Município de Esposende (2); Município de Barcelos (1)</t>
  </si>
  <si>
    <t xml:space="preserve">502670355</t>
  </si>
  <si>
    <t xml:space="preserve">Escola Profissional Amar Terra Verde, Lda (1); Universidade do Minho (1); Instituto Politécnico do Cávado e do Ave (1)</t>
  </si>
  <si>
    <t xml:space="preserve">OPERTEC - OPERAÇÃO E MANUTENÇÃO DE INSTALAÇÕES, LDA.</t>
  </si>
  <si>
    <t xml:space="preserve">507842278</t>
  </si>
  <si>
    <t xml:space="preserve">eletricidade (3), projeto (1)</t>
  </si>
  <si>
    <t xml:space="preserve">Município de Guimarães (1); A Oficina Centro de Artes e Mesteres Tradicionais de Guimarães, CIPRL (1); TUB - Transportes Urbanos de Braga - EM (1)</t>
  </si>
  <si>
    <t xml:space="preserve">UTIL SOFT - UTILITÁRIOS E SOFTWARE, LDA</t>
  </si>
  <si>
    <t xml:space="preserve">503041688</t>
  </si>
  <si>
    <t xml:space="preserve">Unidade Local de Saúde do Médio Ave, E.P.E. (1); Unidade Local de Saúde do Alto Minho, EPE (ULSAM) (1); Agrupamento de Escolas Gonçalo Nunes, Barcelos (1)</t>
  </si>
  <si>
    <t xml:space="preserve">506165205</t>
  </si>
  <si>
    <t xml:space="preserve">Município de Amares (2); Unidade Local de Saúde do Alto Minho, EPE (ULSAM) (1)</t>
  </si>
  <si>
    <t xml:space="preserve">506897133</t>
  </si>
  <si>
    <t xml:space="preserve">eletricidade (3), fotovoltaico (1), seguranca_incendio (1)</t>
  </si>
  <si>
    <t xml:space="preserve">Município de Paredes de Coura (1); Município de Vila Nova de Famalicão (1); Município de Fafe (1)</t>
  </si>
  <si>
    <t xml:space="preserve">SINTIMEX - Soc. Internacional de Imp. e Exp. S.A</t>
  </si>
  <si>
    <t xml:space="preserve">500251118</t>
  </si>
  <si>
    <t xml:space="preserve">seguranca_incendio (3)</t>
  </si>
  <si>
    <t xml:space="preserve">Município de Guimarães (3)</t>
  </si>
  <si>
    <t xml:space="preserve">509153844</t>
  </si>
  <si>
    <t xml:space="preserve">software_ti (2), eletricidade (1)</t>
  </si>
  <si>
    <t xml:space="preserve">Universidade do Minho (1); Instituto Politécnico do Cávado e do Ave (1); Unidade Local de Saúde do Alto Minho, E. P. E. (1)</t>
  </si>
  <si>
    <t xml:space="preserve">509324061</t>
  </si>
  <si>
    <t xml:space="preserve">Taipas-Turitermas-Cooperativa de Interesse Público, RL (1); Município de Vila Verde (1); Município de Fafe (1)</t>
  </si>
  <si>
    <t xml:space="preserve">PIXELMETRIC, LDA</t>
  </si>
  <si>
    <t xml:space="preserve">515559792</t>
  </si>
  <si>
    <t xml:space="preserve">Município de Monção (2); Universidade do Minho (1)</t>
  </si>
  <si>
    <t xml:space="preserve">506782328</t>
  </si>
  <si>
    <t xml:space="preserve">Município de Monção (1); Município de Vila Nova de Famalicão (1); EDM - Empresa de Desenvolvimento Mineiro, S. A. (1)</t>
  </si>
  <si>
    <t xml:space="preserve">514065036</t>
  </si>
  <si>
    <t xml:space="preserve">fotovoltaico (2), mobilidade_eletrica (1)</t>
  </si>
  <si>
    <t xml:space="preserve">Instituto Politécnico de Viana do Castelo (1); Vitrus Ambiente, E. M., S. A. (1); Município de Cabeceiras de Basto (1)</t>
  </si>
  <si>
    <t xml:space="preserve">Cunha &amp; Gomes - Informática e Contabilidade Lda</t>
  </si>
  <si>
    <t xml:space="preserve">502607556</t>
  </si>
  <si>
    <t xml:space="preserve">Universidade do Minho (1); Escola Secundária de Caldas das Taipas, Guimarães (1); Instituto Politécnico do Cávado e do Ave (1)</t>
  </si>
  <si>
    <t xml:space="preserve">502460458</t>
  </si>
  <si>
    <t xml:space="preserve">projeto (3), eletricidade (1), software_ti (1)</t>
  </si>
  <si>
    <t xml:space="preserve">Património Cultural, IP (1); Unidade Local de Saúde do Alto Minho, EPE (ULSAM) (1); APDL - Administração dos Portos do Douro, Leixões e Viana do Castelo, S. A. (1)</t>
  </si>
  <si>
    <t xml:space="preserve">501060073</t>
  </si>
  <si>
    <t xml:space="preserve">eletricidade (3)</t>
  </si>
  <si>
    <t xml:space="preserve">Instituto Politécnico de Viana do Castelo (2); Instituto do Emprego e Formação Profissional, IP (1)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</si>
</sst>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42EA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42EA2"/>
      <name val="Arial"/>
      <family val="0"/>
      <charset val="1"/>
    </font>
    <font>
      <i val="true"/>
      <sz val="9"/>
      <color rgb="FF4B6582"/>
      <name val="Arial"/>
      <family val="0"/>
      <charset val="1"/>
    </font>
    <font>
      <u val="single"/>
      <sz val="10"/>
      <color rgb="FF0D74D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42EA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42EA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74D8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D74D8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6582"/>
      <rgbColor rgb="FF969696"/>
      <rgbColor rgb="FF042EA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ase.gov.pt/Base4/pt/pesquisa/?type=contratos&amp;adjudicante=506663264" TargetMode="External"/><Relationship Id="rId2" Type="http://schemas.openxmlformats.org/officeDocument/2006/relationships/hyperlink" Target="https://www.base.gov.pt/Base4/pt/pesquisa/?type=contratos&amp;adjudicante=506901173" TargetMode="External"/><Relationship Id="rId3" Type="http://schemas.openxmlformats.org/officeDocument/2006/relationships/hyperlink" Target="https://www.base.gov.pt/Base4/pt/pesquisa/?type=contratos&amp;adjudicante=505948605" TargetMode="External"/><Relationship Id="rId4" Type="http://schemas.openxmlformats.org/officeDocument/2006/relationships/hyperlink" Target="https://www.base.gov.pt/Base4/pt/pesquisa/?type=contratos&amp;adjudicante=508786193" TargetMode="External"/><Relationship Id="rId5" Type="http://schemas.openxmlformats.org/officeDocument/2006/relationships/hyperlink" Target="https://www.base.gov.pt/Base4/pt/pesquisa/?type=contratos&amp;adjudicante=515545180" TargetMode="External"/><Relationship Id="rId6" Type="http://schemas.openxmlformats.org/officeDocument/2006/relationships/hyperlink" Target="https://www.base.gov.pt/Base4/pt/pesquisa/?type=contratos&amp;adjudicante=506811913" TargetMode="External"/><Relationship Id="rId7" Type="http://schemas.openxmlformats.org/officeDocument/2006/relationships/hyperlink" Target="https://www.base.gov.pt/Base4/pt/pesquisa/?type=contratos&amp;adjudicante=502011378" TargetMode="External"/><Relationship Id="rId8" Type="http://schemas.openxmlformats.org/officeDocument/2006/relationships/hyperlink" Target="https://www.base.gov.pt/Base4/pt/pesquisa/?type=contratos&amp;adjudicante=506037258" TargetMode="External"/><Relationship Id="rId9" Type="http://schemas.openxmlformats.org/officeDocument/2006/relationships/hyperlink" Target="https://www.base.gov.pt/Base4/pt/pesquisa/?type=contratos&amp;adjudicante=505584760" TargetMode="External"/><Relationship Id="rId10" Type="http://schemas.openxmlformats.org/officeDocument/2006/relationships/hyperlink" Target="https://www.base.gov.pt/Base4/pt/pesquisa/?type=contratos&amp;adjudicante=500843139" TargetMode="External"/><Relationship Id="rId11" Type="http://schemas.openxmlformats.org/officeDocument/2006/relationships/hyperlink" Target="https://www.base.gov.pt/Base4/pt/pesquisa/?type=contratos&amp;adjudicante=508093937" TargetMode="External"/><Relationship Id="rId12" Type="http://schemas.openxmlformats.org/officeDocument/2006/relationships/hyperlink" Target="https://www.base.gov.pt/Base4/pt/pesquisa/?type=contratos&amp;adjudicante=503761877" TargetMode="External"/><Relationship Id="rId13" Type="http://schemas.openxmlformats.org/officeDocument/2006/relationships/hyperlink" Target="https://www.base.gov.pt/Base4/pt/pesquisa/?type=contratos&amp;adjudicante=506884929" TargetMode="External"/><Relationship Id="rId14" Type="http://schemas.openxmlformats.org/officeDocument/2006/relationships/hyperlink" Target="https://www.base.gov.pt/Base4/pt/pesquisa/?type=contratos&amp;adjudicante=508080827" TargetMode="External"/><Relationship Id="rId15" Type="http://schemas.openxmlformats.org/officeDocument/2006/relationships/hyperlink" Target="https://www.base.gov.pt/Base4/pt/pesquisa/?type=contratos&amp;adjudicante=506632938" TargetMode="External"/><Relationship Id="rId16" Type="http://schemas.openxmlformats.org/officeDocument/2006/relationships/hyperlink" Target="https://www.base.gov.pt/Base4/pt/pesquisa/?type=contratos&amp;adjudicante=506632920" TargetMode="External"/><Relationship Id="rId17" Type="http://schemas.openxmlformats.org/officeDocument/2006/relationships/hyperlink" Target="https://www.base.gov.pt/Base4/pt/pesquisa/?type=contratos&amp;adjudicante=506797627" TargetMode="External"/><Relationship Id="rId18" Type="http://schemas.openxmlformats.org/officeDocument/2006/relationships/hyperlink" Target="https://www.base.gov.pt/Base4/pt/pesquisa/?type=contratos&amp;adjudicante=506841561" TargetMode="External"/><Relationship Id="rId19" Type="http://schemas.openxmlformats.org/officeDocument/2006/relationships/hyperlink" Target="https://www.base.gov.pt/Base4/pt/pesquisa/?type=contratos&amp;adjudicante=503494933" TargetMode="External"/><Relationship Id="rId20" Type="http://schemas.openxmlformats.org/officeDocument/2006/relationships/hyperlink" Target="https://www.base.gov.pt/Base4/pt/pesquisa/?type=contratos&amp;adjudicante=506907619" TargetMode="External"/><Relationship Id="rId21" Type="http://schemas.openxmlformats.org/officeDocument/2006/relationships/hyperlink" Target="https://www.base.gov.pt/Base4/pt/pesquisa/?type=contratos&amp;adjudicante=506617599" TargetMode="External"/><Relationship Id="rId22" Type="http://schemas.openxmlformats.org/officeDocument/2006/relationships/hyperlink" Target="https://www.base.gov.pt/Base4/pt/pesquisa/?type=contratos&amp;adjudicante=506641376" TargetMode="External"/><Relationship Id="rId23" Type="http://schemas.openxmlformats.org/officeDocument/2006/relationships/hyperlink" Target="https://www.base.gov.pt/Base4/pt/pesquisa/?type=contratos&amp;adjudicante=504807692" TargetMode="External"/><Relationship Id="rId24" Type="http://schemas.openxmlformats.org/officeDocument/2006/relationships/hyperlink" Target="https://www.base.gov.pt/Base4/pt/pesquisa/?type=contratos&amp;adjudicante=505676770" TargetMode="External"/><Relationship Id="rId25" Type="http://schemas.openxmlformats.org/officeDocument/2006/relationships/hyperlink" Target="https://www.base.gov.pt/Base4/pt/pesquisa/?type=contratos&amp;adjudicante=505592940" TargetMode="External"/><Relationship Id="rId26" Type="http://schemas.openxmlformats.org/officeDocument/2006/relationships/hyperlink" Target="https://www.base.gov.pt/Base4/pt/pesquisa/?type=contratos&amp;adjudicante=505211696" TargetMode="External"/><Relationship Id="rId27" Type="http://schemas.openxmlformats.org/officeDocument/2006/relationships/hyperlink" Target="https://www.base.gov.pt/Base4/pt/pesquisa/?type=contratos&amp;adjudicante=505993082" TargetMode="External"/><Relationship Id="rId28" Type="http://schemas.openxmlformats.org/officeDocument/2006/relationships/hyperlink" Target="https://www.base.gov.pt/Base4/pt/pesquisa/?type=contratos&amp;adjudicante=504807684" TargetMode="External"/><Relationship Id="rId29" Type="http://schemas.openxmlformats.org/officeDocument/2006/relationships/hyperlink" Target="https://www.base.gov.pt/Base4/pt/pesquisa/?type=contratos&amp;adjudicante=505985217" TargetMode="External"/><Relationship Id="rId30" Type="http://schemas.openxmlformats.org/officeDocument/2006/relationships/hyperlink" Target="https://www.base.gov.pt/Base4/pt/pesquisa/?type=contratos&amp;adjudicante=501937471" TargetMode="External"/><Relationship Id="rId31" Type="http://schemas.openxmlformats.org/officeDocument/2006/relationships/hyperlink" Target="https://www.base.gov.pt/Base4/pt/pesquisa/?type=contratos&amp;adjudicante=506728897" TargetMode="External"/><Relationship Id="rId32" Type="http://schemas.openxmlformats.org/officeDocument/2006/relationships/hyperlink" Target="https://www.base.gov.pt/Base4/pt/pesquisa/?type=contratos&amp;adjudicante=505330334" TargetMode="External"/><Relationship Id="rId33" Type="http://schemas.openxmlformats.org/officeDocument/2006/relationships/hyperlink" Target="https://www.base.gov.pt/Base4/pt/pesquisa/?type=contratos&amp;adjudicante=503190985" TargetMode="External"/><Relationship Id="rId34" Type="http://schemas.openxmlformats.org/officeDocument/2006/relationships/hyperlink" Target="https://www.base.gov.pt/Base4/pt/pesquisa/?type=contratos&amp;adjudicante=600034984" TargetMode="External"/><Relationship Id="rId35" Type="http://schemas.openxmlformats.org/officeDocument/2006/relationships/hyperlink" Target="https://www.base.gov.pt/Base4/pt/pesquisa/?type=contratos&amp;adjudicante=513606084" TargetMode="External"/><Relationship Id="rId36" Type="http://schemas.openxmlformats.org/officeDocument/2006/relationships/hyperlink" Target="https://www.base.gov.pt/Base4/pt/pesquisa/?type=contratos&amp;adjudicante=502201886" TargetMode="External"/><Relationship Id="rId37" Type="http://schemas.openxmlformats.org/officeDocument/2006/relationships/hyperlink" Target="https://www.base.gov.pt/Base4/pt/pesquisa/?type=contratos&amp;adjudicante=680047360" TargetMode="External"/><Relationship Id="rId38" Type="http://schemas.openxmlformats.org/officeDocument/2006/relationships/hyperlink" Target="https://www.base.gov.pt/Base4/pt/pesquisa/?type=contratos&amp;adjudicante=504595067" TargetMode="External"/><Relationship Id="rId39" Type="http://schemas.openxmlformats.org/officeDocument/2006/relationships/hyperlink" Target="https://www.base.gov.pt/Base4/pt/pesquisa/?type=contratos&amp;adjudicante=506361381" TargetMode="External"/><Relationship Id="rId40" Type="http://schemas.openxmlformats.org/officeDocument/2006/relationships/hyperlink" Target="https://www.base.gov.pt/Base4/pt/pesquisa/?type=contratos&amp;adjudicante=680038647" TargetMode="External"/><Relationship Id="rId41" Type="http://schemas.openxmlformats.org/officeDocument/2006/relationships/hyperlink" Target="https://www.base.gov.pt/Base4/pt/pesquisa/?type=contratos&amp;adjudicante=503730947" TargetMode="External"/><Relationship Id="rId42" Type="http://schemas.openxmlformats.org/officeDocument/2006/relationships/hyperlink" Target="https://www.base.gov.pt/Base4/pt/pesquisa/?type=contratos&amp;adjudicante=504537784" TargetMode="External"/><Relationship Id="rId43" Type="http://schemas.openxmlformats.org/officeDocument/2006/relationships/hyperlink" Target="https://www.base.gov.pt/Base4/pt/pesquisa/?type=contratos&amp;adjudicante=500463964" TargetMode="External"/><Relationship Id="rId44" Type="http://schemas.openxmlformats.org/officeDocument/2006/relationships/hyperlink" Target="https://www.base.gov.pt/Base4/pt/pesquisa/?type=contratos&amp;adjudicante=504885855" TargetMode="External"/><Relationship Id="rId45" Type="http://schemas.openxmlformats.org/officeDocument/2006/relationships/hyperlink" Target="https://www.base.gov.pt/Base4/pt/pesquisa/?type=contratos&amp;adjudicante=506896625" TargetMode="External"/><Relationship Id="rId46" Type="http://schemas.openxmlformats.org/officeDocument/2006/relationships/hyperlink" Target="https://www.base.gov.pt/Base4/pt/pesquisa/?type=contratos&amp;adjudicante=506659682" TargetMode="External"/><Relationship Id="rId47" Type="http://schemas.openxmlformats.org/officeDocument/2006/relationships/hyperlink" Target="https://www.base.gov.pt/Base4/pt/pesquisa/?type=contratos&amp;adjudicante=510361242" TargetMode="External"/><Relationship Id="rId48" Type="http://schemas.openxmlformats.org/officeDocument/2006/relationships/hyperlink" Target="https://www.base.gov.pt/Base4/pt/pesquisa/?type=contratos&amp;adjudicante=517842920" TargetMode="External"/><Relationship Id="rId49" Type="http://schemas.openxmlformats.org/officeDocument/2006/relationships/hyperlink" Target="https://www.base.gov.pt/Base4/pt/pesquisa/?type=contratos&amp;adjudicante=504769642" TargetMode="External"/><Relationship Id="rId50" Type="http://schemas.openxmlformats.org/officeDocument/2006/relationships/hyperlink" Target="https://www.base.gov.pt/Base4/pt/pesquisa/?type=contratos&amp;adjudicante=508887780" TargetMode="External"/><Relationship Id="rId51" Type="http://schemas.openxmlformats.org/officeDocument/2006/relationships/hyperlink" Target="https://www.base.gov.pt/Base4/pt/pesquisa/?type=contratos&amp;adjudicante=504443127" TargetMode="External"/><Relationship Id="rId52" Type="http://schemas.openxmlformats.org/officeDocument/2006/relationships/hyperlink" Target="https://www.base.gov.pt/Base4/pt/pesquisa/?type=contratos&amp;adjudicante=517804417" TargetMode="External"/><Relationship Id="rId53" Type="http://schemas.openxmlformats.org/officeDocument/2006/relationships/hyperlink" Target="https://www.base.gov.pt/Base4/pt/pesquisa/?type=contratos&amp;adjudicante=502077352" TargetMode="External"/><Relationship Id="rId54" Type="http://schemas.openxmlformats.org/officeDocument/2006/relationships/hyperlink" Target="https://www.base.gov.pt/Base4/pt/pesquisa/?type=contratos&amp;adjudicante=506034976" TargetMode="External"/><Relationship Id="rId55" Type="http://schemas.openxmlformats.org/officeDocument/2006/relationships/hyperlink" Target="https://www.base.gov.pt/Base4/pt/pesquisa/?type=contratos&amp;adjudicante=516198637" TargetMode="External"/><Relationship Id="rId56" Type="http://schemas.openxmlformats.org/officeDocument/2006/relationships/hyperlink" Target="https://www.base.gov.pt/Base4/pt/pesquisa/?type=contratos&amp;adjudicante=503904040" TargetMode="External"/><Relationship Id="rId57" Type="http://schemas.openxmlformats.org/officeDocument/2006/relationships/hyperlink" Target="https://www.base.gov.pt/Base4/pt/pesquisa/?type=contratos&amp;adjudicante=508754496" TargetMode="External"/><Relationship Id="rId58" Type="http://schemas.openxmlformats.org/officeDocument/2006/relationships/hyperlink" Target="https://www.base.gov.pt/Base4/pt/pesquisa/?type=contratos&amp;adjudicante=509906478" TargetMode="External"/><Relationship Id="rId59" Type="http://schemas.openxmlformats.org/officeDocument/2006/relationships/hyperlink" Target="https://www.base.gov.pt/Base4/pt/pesquisa/?type=contratos&amp;adjudicante=509584888" TargetMode="External"/><Relationship Id="rId60" Type="http://schemas.openxmlformats.org/officeDocument/2006/relationships/hyperlink" Target="https://www.base.gov.pt/Base4/pt/pesquisa/?type=contratos&amp;adjudicante=600084892" TargetMode="External"/><Relationship Id="rId61" Type="http://schemas.openxmlformats.org/officeDocument/2006/relationships/hyperlink" Target="https://www.base.gov.pt/Base4/pt/pesquisa/?type=contratos&amp;adjudicante=501442600" TargetMode="External"/><Relationship Id="rId62" Type="http://schemas.openxmlformats.org/officeDocument/2006/relationships/hyperlink" Target="https://www.base.gov.pt/Base4/pt/pesquisa/?type=contratos&amp;adjudicante=600070298" TargetMode="External"/><Relationship Id="rId63" Type="http://schemas.openxmlformats.org/officeDocument/2006/relationships/hyperlink" Target="https://www.base.gov.pt/Base4/pt/pesquisa/?type=contratos&amp;adjudicante=504943782" TargetMode="External"/><Relationship Id="rId64" Type="http://schemas.openxmlformats.org/officeDocument/2006/relationships/hyperlink" Target="https://www.base.gov.pt/Base4/pt/pesquisa/?type=contratos&amp;adjudicante=502622393" TargetMode="External"/><Relationship Id="rId65" Type="http://schemas.openxmlformats.org/officeDocument/2006/relationships/hyperlink" Target="https://www.base.gov.pt/Base4/pt/pesquisa/?type=contratos&amp;adjudicante=600086526" TargetMode="External"/><Relationship Id="rId66" Type="http://schemas.openxmlformats.org/officeDocument/2006/relationships/hyperlink" Target="https://www.base.gov.pt/Base4/pt/pesquisa/?type=contratos&amp;adjudicante=600006700" TargetMode="External"/><Relationship Id="rId67" Type="http://schemas.openxmlformats.org/officeDocument/2006/relationships/hyperlink" Target="https://www.base.gov.pt/Base4/pt/pesquisa/?type=contratos&amp;adjudicante=501983988" TargetMode="External"/><Relationship Id="rId68" Type="http://schemas.openxmlformats.org/officeDocument/2006/relationships/hyperlink" Target="https://www.base.gov.pt/Base4/pt/pesquisa/?type=contratos&amp;adjudicante=500868514" TargetMode="External"/><Relationship Id="rId69" Type="http://schemas.openxmlformats.org/officeDocument/2006/relationships/hyperlink" Target="https://www.base.gov.pt/Base4/pt/pesquisa/?type=contratos&amp;adjudicante=501409084" TargetMode="External"/><Relationship Id="rId70" Type="http://schemas.openxmlformats.org/officeDocument/2006/relationships/hyperlink" Target="https://www.base.gov.pt/Base4/pt/pesquisa/?type=contratos&amp;adjudicante=510342647" TargetMode="External"/><Relationship Id="rId71" Type="http://schemas.openxmlformats.org/officeDocument/2006/relationships/hyperlink" Target="https://www.base.gov.pt/Base4/pt/pesquisa/?type=contratos&amp;adjudicante=600070476" TargetMode="External"/><Relationship Id="rId72" Type="http://schemas.openxmlformats.org/officeDocument/2006/relationships/hyperlink" Target="https://www.base.gov.pt/Base4/pt/pesquisa/?type=contratos&amp;adjudicante=600041212" TargetMode="External"/><Relationship Id="rId73" Type="http://schemas.openxmlformats.org/officeDocument/2006/relationships/hyperlink" Target="https://www.base.gov.pt/Base4/pt/pesquisa/?type=contratos&amp;adjudicante=600076881" TargetMode="External"/><Relationship Id="rId74" Type="http://schemas.openxmlformats.org/officeDocument/2006/relationships/hyperlink" Target="https://www.base.gov.pt/Base4/pt/pesquisa/?type=contratos&amp;adjudicante=513753362" TargetMode="External"/><Relationship Id="rId75" Type="http://schemas.openxmlformats.org/officeDocument/2006/relationships/hyperlink" Target="https://www.base.gov.pt/Base4/pt/pesquisa/?type=contratos&amp;adjudicante=503879614" TargetMode="External"/><Relationship Id="rId76" Type="http://schemas.openxmlformats.org/officeDocument/2006/relationships/hyperlink" Target="https://www.base.gov.pt/Base4/pt/pesquisa/?type=contratos&amp;adjudicante=600067971" TargetMode="External"/><Relationship Id="rId77" Type="http://schemas.openxmlformats.org/officeDocument/2006/relationships/hyperlink" Target="https://www.base.gov.pt/Base4/pt/pesquisa/?type=contratos&amp;adjudicante=500848750" TargetMode="External"/><Relationship Id="rId78" Type="http://schemas.openxmlformats.org/officeDocument/2006/relationships/hyperlink" Target="https://www.base.gov.pt/Base4/pt/pesquisa/?type=contratos&amp;adjudicante=500341583" TargetMode="External"/><Relationship Id="rId79" Type="http://schemas.openxmlformats.org/officeDocument/2006/relationships/hyperlink" Target="https://www.base.gov.pt/Base4/pt/pesquisa/?type=contratos&amp;adjudicante=516844156" TargetMode="External"/><Relationship Id="rId80" Type="http://schemas.openxmlformats.org/officeDocument/2006/relationships/hyperlink" Target="https://www.base.gov.pt/Base4/pt/pesquisa/?type=contratos&amp;adjudicante=600084779" TargetMode="External"/><Relationship Id="rId81" Type="http://schemas.openxmlformats.org/officeDocument/2006/relationships/hyperlink" Target="https://www.base.gov.pt/Base4/pt/pesquisa/?type=contratos&amp;adjudicante=600073041" TargetMode="External"/><Relationship Id="rId82" Type="http://schemas.openxmlformats.org/officeDocument/2006/relationships/hyperlink" Target="https://www.base.gov.pt/Base4/pt/pesquisa/?type=contratos&amp;adjudicante=501324550" TargetMode="External"/><Relationship Id="rId83" Type="http://schemas.openxmlformats.org/officeDocument/2006/relationships/hyperlink" Target="https://www.base.gov.pt/Base4/pt/pesquisa/?type=contratos&amp;adjudicante=600086321" TargetMode="External"/><Relationship Id="rId84" Type="http://schemas.openxmlformats.org/officeDocument/2006/relationships/hyperlink" Target="https://www.base.gov.pt/Base4/pt/pesquisa/?type=contratos&amp;adjudicante=502585757" TargetMode="External"/><Relationship Id="rId85" Type="http://schemas.openxmlformats.org/officeDocument/2006/relationships/hyperlink" Target="https://www.base.gov.pt/Base4/pt/pesquisa/?type=contratos&amp;adjudicante=516383280" TargetMode="External"/><Relationship Id="rId86" Type="http://schemas.openxmlformats.org/officeDocument/2006/relationships/hyperlink" Target="https://www.base.gov.pt/Base4/pt/pesquisa/?type=contratos&amp;adjudicante=600078248" TargetMode="External"/><Relationship Id="rId87" Type="http://schemas.openxmlformats.org/officeDocument/2006/relationships/hyperlink" Target="https://www.base.gov.pt/Base4/pt/pesquisa/?type=contratos&amp;adjudicante=600085481" TargetMode="External"/><Relationship Id="rId88" Type="http://schemas.openxmlformats.org/officeDocument/2006/relationships/hyperlink" Target="https://www.base.gov.pt/Base4/pt/pesquisa/?type=contratos&amp;adjudicante=515486159" TargetMode="External"/><Relationship Id="rId89" Type="http://schemas.openxmlformats.org/officeDocument/2006/relationships/hyperlink" Target="https://www.base.gov.pt/Base4/pt/pesquisa/?type=contratos&amp;adjudicante=600075168" TargetMode="External"/><Relationship Id="rId90" Type="http://schemas.openxmlformats.org/officeDocument/2006/relationships/hyperlink" Target="https://www.base.gov.pt/Base4/pt/pesquisa/?type=contratos&amp;adjudicante=600079619" TargetMode="External"/><Relationship Id="rId91" Type="http://schemas.openxmlformats.org/officeDocument/2006/relationships/hyperlink" Target="https://www.base.gov.pt/Base4/pt/pesquisa/?type=contratos&amp;adjudicante=507682734" TargetMode="External"/><Relationship Id="rId92" Type="http://schemas.openxmlformats.org/officeDocument/2006/relationships/hyperlink" Target="https://www.base.gov.pt/Base4/pt/pesquisa/?type=contratos&amp;adjudicante=501676430" TargetMode="External"/><Relationship Id="rId93" Type="http://schemas.openxmlformats.org/officeDocument/2006/relationships/hyperlink" Target="https://www.base.gov.pt/Base4/pt/pesquisa/?type=contratos&amp;adjudicante=504807706" TargetMode="External"/><Relationship Id="rId94" Type="http://schemas.openxmlformats.org/officeDocument/2006/relationships/hyperlink" Target="https://www.base.gov.pt/Base4/pt/pesquisa/?type=contratos&amp;adjudicante=502503874" TargetMode="External"/><Relationship Id="rId95" Type="http://schemas.openxmlformats.org/officeDocument/2006/relationships/hyperlink" Target="https://www.base.gov.pt/Base4/pt/pesquisa/?type=contratos&amp;adjudicante=500900469" TargetMode="External"/><Relationship Id="rId96" Type="http://schemas.openxmlformats.org/officeDocument/2006/relationships/hyperlink" Target="https://www.base.gov.pt/Base4/pt/pesquisa/?type=contratos&amp;adjudicante=500239886" TargetMode="External"/><Relationship Id="rId97" Type="http://schemas.openxmlformats.org/officeDocument/2006/relationships/hyperlink" Target="https://www.base.gov.pt/Base4/pt/pesquisa/?type=contratos&amp;adjudicante=507533208" TargetMode="External"/><Relationship Id="rId98" Type="http://schemas.openxmlformats.org/officeDocument/2006/relationships/hyperlink" Target="https://www.base.gov.pt/Base4/pt/pesquisa/?type=contratos&amp;adjudicante=515113859" TargetMode="External"/><Relationship Id="rId99" Type="http://schemas.openxmlformats.org/officeDocument/2006/relationships/hyperlink" Target="https://www.base.gov.pt/Base4/pt/pesquisa/?type=contratos&amp;adjudicante=600072541" TargetMode="External"/><Relationship Id="rId100" Type="http://schemas.openxmlformats.org/officeDocument/2006/relationships/hyperlink" Target="https://www.base.gov.pt/Base4/pt/pesquisa/?type=contratos&amp;adjudicante=600077594" TargetMode="External"/><Relationship Id="rId101" Type="http://schemas.openxmlformats.org/officeDocument/2006/relationships/hyperlink" Target="https://www.base.gov.pt/Base4/pt/pesquisa/?type=contratos&amp;adjudicante=600041247" TargetMode="External"/><Relationship Id="rId102" Type="http://schemas.openxmlformats.org/officeDocument/2006/relationships/hyperlink" Target="https://www.base.gov.pt/Base4/pt/pesquisa/?type=contratos&amp;adjudicante=500927731" TargetMode="External"/><Relationship Id="rId103" Type="http://schemas.openxmlformats.org/officeDocument/2006/relationships/hyperlink" Target="https://www.base.gov.pt/Base4/pt/pesquisa/?type=contratos&amp;adjudicante=504639862" TargetMode="External"/><Relationship Id="rId104" Type="http://schemas.openxmlformats.org/officeDocument/2006/relationships/hyperlink" Target="https://www.base.gov.pt/Base4/pt/pesquisa/?type=contratos&amp;adjudicante=507031350" TargetMode="External"/><Relationship Id="rId105" Type="http://schemas.openxmlformats.org/officeDocument/2006/relationships/hyperlink" Target="https://www.base.gov.pt/Base4/pt/pesquisa/?type=contratos&amp;adjudicante=600081311" TargetMode="External"/><Relationship Id="rId106" Type="http://schemas.openxmlformats.org/officeDocument/2006/relationships/hyperlink" Target="https://www.base.gov.pt/Base4/pt/pesquisa/?type=contratos&amp;adjudicante=600072800" TargetMode="External"/><Relationship Id="rId107" Type="http://schemas.openxmlformats.org/officeDocument/2006/relationships/hyperlink" Target="https://www.base.gov.pt/Base4/pt/pesquisa/?type=contratos&amp;adjudicante=600084256" TargetMode="External"/><Relationship Id="rId108" Type="http://schemas.openxmlformats.org/officeDocument/2006/relationships/hyperlink" Target="https://www.base.gov.pt/Base4/pt/pesquisa/?type=contratos&amp;adjudicante=504103032" TargetMode="External"/><Relationship Id="rId109" Type="http://schemas.openxmlformats.org/officeDocument/2006/relationships/hyperlink" Target="https://www.base.gov.pt/Base4/pt/pesquisa/?type=contratos&amp;adjudicante=503919403" TargetMode="External"/><Relationship Id="rId110" Type="http://schemas.openxmlformats.org/officeDocument/2006/relationships/hyperlink" Target="https://www.base.gov.pt/Base4/pt/pesquisa/?type=contratos&amp;adjudicante=600084230" TargetMode="External"/><Relationship Id="rId111" Type="http://schemas.openxmlformats.org/officeDocument/2006/relationships/hyperlink" Target="https://www.base.gov.pt/Base4/pt/pesquisa/?type=contratos&amp;adjudicante=501403256" TargetMode="External"/><Relationship Id="rId112" Type="http://schemas.openxmlformats.org/officeDocument/2006/relationships/hyperlink" Target="https://www.base.gov.pt/Base4/pt/pesquisa/?type=contratos&amp;adjudicante=600085449" TargetMode="External"/><Relationship Id="rId113" Type="http://schemas.openxmlformats.org/officeDocument/2006/relationships/hyperlink" Target="https://www.base.gov.pt/Base4/pt/pesquisa/?type=contratos&amp;adjudicante=508779472" TargetMode="External"/><Relationship Id="rId114" Type="http://schemas.openxmlformats.org/officeDocument/2006/relationships/hyperlink" Target="https://www.base.gov.pt/Base4/pt/pesquisa/?type=contratos&amp;adjudicante=504797956" TargetMode="External"/><Relationship Id="rId115" Type="http://schemas.openxmlformats.org/officeDocument/2006/relationships/hyperlink" Target="https://www.base.gov.pt/Base4/pt/pesquisa/?type=contratos&amp;adjudicante=504511734" TargetMode="External"/><Relationship Id="rId116" Type="http://schemas.openxmlformats.org/officeDocument/2006/relationships/hyperlink" Target="https://www.base.gov.pt/Base4/pt/pesquisa/?type=contratos&amp;adjudicante=504635417" TargetMode="External"/><Relationship Id="rId117" Type="http://schemas.openxmlformats.org/officeDocument/2006/relationships/hyperlink" Target="https://www.base.gov.pt/Base4/pt/pesquisa/?type=contratos&amp;adjudicante=500876096" TargetMode="External"/><Relationship Id="rId118" Type="http://schemas.openxmlformats.org/officeDocument/2006/relationships/hyperlink" Target="https://www.base.gov.pt/Base4/pt/pesquisa/?type=contratos&amp;adjudicante=500746656" TargetMode="External"/><Relationship Id="rId119" Type="http://schemas.openxmlformats.org/officeDocument/2006/relationships/hyperlink" Target="https://www.base.gov.pt/Base4/pt/pesquisa/?type=contratos&amp;adjudicante=501073477" TargetMode="External"/><Relationship Id="rId120" Type="http://schemas.openxmlformats.org/officeDocument/2006/relationships/hyperlink" Target="https://www.base.gov.pt/Base4/pt/pesquisa/?type=contratos&amp;adjudicante=502826347" TargetMode="External"/><Relationship Id="rId121" Type="http://schemas.openxmlformats.org/officeDocument/2006/relationships/hyperlink" Target="https://www.base.gov.pt/Base4/pt/pesquisa/?type=contratos&amp;adjudicante=680012907" TargetMode="External"/><Relationship Id="rId122" Type="http://schemas.openxmlformats.org/officeDocument/2006/relationships/hyperlink" Target="https://www.base.gov.pt/Base4/pt/pesquisa/?type=contratos&amp;adjudicante=504853198" TargetMode="External"/><Relationship Id="rId123" Type="http://schemas.openxmlformats.org/officeDocument/2006/relationships/hyperlink" Target="https://www.base.gov.pt/Base4/pt/pesquisa/?type=contratos&amp;adjudicante=500779112" TargetMode="External"/><Relationship Id="rId124" Type="http://schemas.openxmlformats.org/officeDocument/2006/relationships/hyperlink" Target="https://www.base.gov.pt/Base4/pt/pesquisa/?type=contratos&amp;adjudicante=600010791" TargetMode="External"/><Relationship Id="rId125" Type="http://schemas.openxmlformats.org/officeDocument/2006/relationships/hyperlink" Target="https://www.base.gov.pt/Base4/pt/pesquisa/?type=contratos&amp;adjudicante=510785646" TargetMode="External"/><Relationship Id="rId126" Type="http://schemas.openxmlformats.org/officeDocument/2006/relationships/hyperlink" Target="https://www.base.gov.pt/Base4/pt/pesquisa/?type=contratos&amp;adjudicante=500971285" TargetMode="External"/><Relationship Id="rId127" Type="http://schemas.openxmlformats.org/officeDocument/2006/relationships/hyperlink" Target="https://www.base.gov.pt/Base4/pt/pesquisa/?type=contratos&amp;adjudicante=504596608" TargetMode="External"/><Relationship Id="rId128" Type="http://schemas.openxmlformats.org/officeDocument/2006/relationships/hyperlink" Target="https://www.base.gov.pt/Base4/pt/pesquisa/?type=contratos&amp;adjudicante=500848610" TargetMode="External"/><Relationship Id="rId129" Type="http://schemas.openxmlformats.org/officeDocument/2006/relationships/hyperlink" Target="https://www.base.gov.pt/Base4/pt/pesquisa/?type=contratos&amp;adjudicante=505552060" TargetMode="External"/><Relationship Id="rId130" Type="http://schemas.openxmlformats.org/officeDocument/2006/relationships/hyperlink" Target="https://www.base.gov.pt/Base4/pt/pesquisa/?type=contratos&amp;adjudicante=500886342" TargetMode="External"/><Relationship Id="rId131" Type="http://schemas.openxmlformats.org/officeDocument/2006/relationships/hyperlink" Target="https://www.base.gov.pt/Base4/pt/pesquisa/?type=contratos&amp;adjudicante=500852464" TargetMode="External"/><Relationship Id="rId132" Type="http://schemas.openxmlformats.org/officeDocument/2006/relationships/hyperlink" Target="https://www.base.gov.pt/Base4/pt/pesquisa/?type=contratos&amp;adjudicante=600085554" TargetMode="External"/><Relationship Id="rId133" Type="http://schemas.openxmlformats.org/officeDocument/2006/relationships/hyperlink" Target="https://www.base.gov.pt/Base4/pt/pesquisa/?type=contratos&amp;adjudicante=502948884" TargetMode="External"/><Relationship Id="rId134" Type="http://schemas.openxmlformats.org/officeDocument/2006/relationships/hyperlink" Target="https://www.base.gov.pt/Base4/pt/pesquisa/?type=contratos&amp;adjudicante=507032454" TargetMode="External"/><Relationship Id="rId135" Type="http://schemas.openxmlformats.org/officeDocument/2006/relationships/hyperlink" Target="https://www.base.gov.pt/Base4/pt/pesquisa/?type=contratos&amp;adjudicante=503578754" TargetMode="External"/><Relationship Id="rId136" Type="http://schemas.openxmlformats.org/officeDocument/2006/relationships/hyperlink" Target="https://www.base.gov.pt/Base4/pt/pesquisa/?type=contratos&amp;adjudicante=500860602" TargetMode="External"/><Relationship Id="rId137" Type="http://schemas.openxmlformats.org/officeDocument/2006/relationships/hyperlink" Target="https://www.base.gov.pt/Base4/pt/pesquisa/?type=contratos&amp;adjudicante=510837913" TargetMode="External"/><Relationship Id="rId138" Type="http://schemas.openxmlformats.org/officeDocument/2006/relationships/hyperlink" Target="https://www.base.gov.pt/Base4/pt/pesquisa/?type=contratos&amp;adjudicante=600085198" TargetMode="External"/><Relationship Id="rId139" Type="http://schemas.openxmlformats.org/officeDocument/2006/relationships/hyperlink" Target="https://www.base.gov.pt/Base4/pt/pesquisa/?type=contratos&amp;adjudicante=507330536" TargetMode="External"/><Relationship Id="rId140" Type="http://schemas.openxmlformats.org/officeDocument/2006/relationships/hyperlink" Target="https://www.base.gov.pt/Base4/pt/pesquisa/?type=contratos&amp;adjudicante=507068076" TargetMode="External"/><Relationship Id="rId141" Type="http://schemas.openxmlformats.org/officeDocument/2006/relationships/hyperlink" Target="https://www.base.gov.pt/Base4/pt/pesquisa/?type=contratos&amp;adjudicante=508905435" TargetMode="External"/><Relationship Id="rId142" Type="http://schemas.openxmlformats.org/officeDocument/2006/relationships/hyperlink" Target="https://www.base.gov.pt/Base4/pt/pesquisa/?type=contratos&amp;adjudicante=504731475" TargetMode="External"/><Relationship Id="rId143" Type="http://schemas.openxmlformats.org/officeDocument/2006/relationships/hyperlink" Target="https://www.base.gov.pt/Base4/pt/pesquisa/?type=contratos&amp;adjudicante=600081702" TargetMode="External"/><Relationship Id="rId144" Type="http://schemas.openxmlformats.org/officeDocument/2006/relationships/hyperlink" Target="https://www.base.gov.pt/Base4/pt/pesquisa/?type=contratos&amp;adjudicante=502722932" TargetMode="External"/><Relationship Id="rId145" Type="http://schemas.openxmlformats.org/officeDocument/2006/relationships/hyperlink" Target="https://www.base.gov.pt/Base4/pt/pesquisa/?type=contratos&amp;adjudicante=519048458" TargetMode="External"/><Relationship Id="rId146" Type="http://schemas.openxmlformats.org/officeDocument/2006/relationships/hyperlink" Target="https://www.base.gov.pt/Base4/pt/pesquisa/?type=contratos&amp;adjudicante=500122237" TargetMode="External"/><Relationship Id="rId147" Type="http://schemas.openxmlformats.org/officeDocument/2006/relationships/hyperlink" Target="https://www.base.gov.pt/Base4/pt/pesquisa/?type=contratos&amp;adjudicante=508666236" TargetMode="External"/><Relationship Id="rId148" Type="http://schemas.openxmlformats.org/officeDocument/2006/relationships/hyperlink" Target="https://www.base.gov.pt/Base4/pt/pesquisa/?type=contratos&amp;adjudicante=514724790" TargetMode="External"/><Relationship Id="rId149" Type="http://schemas.openxmlformats.org/officeDocument/2006/relationships/hyperlink" Target="https://www.base.gov.pt/Base4/pt/pesquisa/?type=contratos&amp;adjudicante=507064402" TargetMode="External"/><Relationship Id="rId150" Type="http://schemas.openxmlformats.org/officeDocument/2006/relationships/hyperlink" Target="https://www.base.gov.pt/Base4/pt/pesquisa/?type=contratos&amp;adjudicante=517839539" TargetMode="External"/><Relationship Id="rId151" Type="http://schemas.openxmlformats.org/officeDocument/2006/relationships/hyperlink" Target="https://www.base.gov.pt/Base4/pt/pesquisa/?type=contratos&amp;adjudicante=507091329" TargetMode="External"/><Relationship Id="rId152" Type="http://schemas.openxmlformats.org/officeDocument/2006/relationships/hyperlink" Target="https://www.base.gov.pt/Base4/pt/pesquisa/?type=contratos&amp;adjudicante=502843918" TargetMode="External"/><Relationship Id="rId153" Type="http://schemas.openxmlformats.org/officeDocument/2006/relationships/hyperlink" Target="https://www.base.gov.pt/Base4/pt/pesquisa/?type=contratos&amp;adjudicante=501501428" TargetMode="External"/><Relationship Id="rId154" Type="http://schemas.openxmlformats.org/officeDocument/2006/relationships/hyperlink" Target="https://www.base.gov.pt/Base4/pt/pesquisa/?type=contratos&amp;adjudicante=510840957" TargetMode="External"/><Relationship Id="rId155" Type="http://schemas.openxmlformats.org/officeDocument/2006/relationships/hyperlink" Target="https://www.base.gov.pt/Base4/pt/pesquisa/?type=contratos&amp;adjudicante=507007239" TargetMode="External"/><Relationship Id="rId156" Type="http://schemas.openxmlformats.org/officeDocument/2006/relationships/hyperlink" Target="https://www.base.gov.pt/Base4/pt/pesquisa/?type=contratos&amp;adjudicante=501994556" TargetMode="External"/><Relationship Id="rId157" Type="http://schemas.openxmlformats.org/officeDocument/2006/relationships/hyperlink" Target="https://www.base.gov.pt/Base4/pt/pesquisa/?type=contratos&amp;adjudicante=901443387" TargetMode="External"/><Relationship Id="rId158" Type="http://schemas.openxmlformats.org/officeDocument/2006/relationships/hyperlink" Target="https://www.base.gov.pt/Base4/pt/pesquisa/?type=contratos&amp;adjudicante=510833870" TargetMode="External"/><Relationship Id="rId159" Type="http://schemas.openxmlformats.org/officeDocument/2006/relationships/hyperlink" Target="https://www.base.gov.pt/Base4/pt/pesquisa/?type=contratos&amp;adjudicante=502714603" TargetMode="External"/><Relationship Id="rId160" Type="http://schemas.openxmlformats.org/officeDocument/2006/relationships/hyperlink" Target="https://www.base.gov.pt/Base4/pt/pesquisa/?type=contratos&amp;adjudicante=501436260" TargetMode="External"/><Relationship Id="rId161" Type="http://schemas.openxmlformats.org/officeDocument/2006/relationships/hyperlink" Target="https://www.base.gov.pt/Base4/pt/pesquisa/?type=contratos&amp;adjudicante=501433813" TargetMode="External"/><Relationship Id="rId162" Type="http://schemas.openxmlformats.org/officeDocument/2006/relationships/hyperlink" Target="https://www.base.gov.pt/Base4/pt/pesquisa/?type=contratos&amp;adjudicante=509225780" TargetMode="External"/><Relationship Id="rId163" Type="http://schemas.openxmlformats.org/officeDocument/2006/relationships/hyperlink" Target="https://www.base.gov.pt/Base4/pt/pesquisa/?type=contratos&amp;adjudicante=501624619" TargetMode="External"/><Relationship Id="rId164" Type="http://schemas.openxmlformats.org/officeDocument/2006/relationships/hyperlink" Target="https://www.base.gov.pt/Base4/pt/pesquisa/?type=contratos&amp;adjudicante=501438394" TargetMode="External"/><Relationship Id="rId165" Type="http://schemas.openxmlformats.org/officeDocument/2006/relationships/hyperlink" Target="https://www.base.gov.pt/Base4/pt/pesquisa/?type=contratos&amp;adjudicante=510316131" TargetMode="External"/><Relationship Id="rId166" Type="http://schemas.openxmlformats.org/officeDocument/2006/relationships/hyperlink" Target="https://www.base.gov.pt/Base4/pt/pesquisa/?type=contratos&amp;adjudicante=506883779" TargetMode="External"/><Relationship Id="rId167" Type="http://schemas.openxmlformats.org/officeDocument/2006/relationships/hyperlink" Target="https://www.base.gov.pt/Base4/pt/pesquisa/?type=contratos&amp;adjudicante=510840850" TargetMode="External"/><Relationship Id="rId168" Type="http://schemas.openxmlformats.org/officeDocument/2006/relationships/hyperlink" Target="https://www.base.gov.pt/Base4/pt/pesquisa/?type=contratos&amp;adjudicante=504781995" TargetMode="External"/><Relationship Id="rId169" Type="http://schemas.openxmlformats.org/officeDocument/2006/relationships/hyperlink" Target="https://www.base.gov.pt/Base4/pt/pesquisa/?type=contratos&amp;adjudicante=510836569" TargetMode="External"/><Relationship Id="rId170" Type="http://schemas.openxmlformats.org/officeDocument/2006/relationships/hyperlink" Target="https://www.base.gov.pt/Base4/pt/pesquisa/?type=contratos&amp;adjudicante=506970892" TargetMode="External"/><Relationship Id="rId171" Type="http://schemas.openxmlformats.org/officeDocument/2006/relationships/hyperlink" Target="https://www.base.gov.pt/Base4/pt/pesquisa/?type=contratos&amp;adjudicante=506960609" TargetMode="External"/><Relationship Id="rId172" Type="http://schemas.openxmlformats.org/officeDocument/2006/relationships/hyperlink" Target="https://www.base.gov.pt/Base4/pt/pesquisa/?type=contratos&amp;adjudicante=501545921" TargetMode="External"/><Relationship Id="rId173" Type="http://schemas.openxmlformats.org/officeDocument/2006/relationships/hyperlink" Target="https://www.base.gov.pt/Base4/pt/pesquisa/?type=contratos&amp;adjudicante=507060032" TargetMode="External"/><Relationship Id="rId174" Type="http://schemas.openxmlformats.org/officeDocument/2006/relationships/hyperlink" Target="https://www.base.gov.pt/Base4/pt/pesquisa/?type=contratos&amp;adjudicante=500899592" TargetMode="External"/><Relationship Id="rId175" Type="http://schemas.openxmlformats.org/officeDocument/2006/relationships/hyperlink" Target="https://www.base.gov.pt/Base4/pt/pesquisa/?type=contratos&amp;adjudicante=504630490" TargetMode="External"/><Relationship Id="rId176" Type="http://schemas.openxmlformats.org/officeDocument/2006/relationships/hyperlink" Target="https://www.base.gov.pt/Base4/pt/pesquisa/?type=contratos&amp;adjudicante=500848645" TargetMode="External"/><Relationship Id="rId177" Type="http://schemas.openxmlformats.org/officeDocument/2006/relationships/hyperlink" Target="https://www.base.gov.pt/Base4/pt/pesquisa/?type=contratos&amp;adjudicante=501091980" TargetMode="External"/><Relationship Id="rId178" Type="http://schemas.openxmlformats.org/officeDocument/2006/relationships/hyperlink" Target="https://www.base.gov.pt/Base4/pt/pesquisa/?type=contratos&amp;adjudicante=500835918" TargetMode="External"/><Relationship Id="rId179" Type="http://schemas.openxmlformats.org/officeDocument/2006/relationships/hyperlink" Target="https://www.base.gov.pt/Base4/pt/pesquisa/?type=contratos&amp;adjudicante=505197200" TargetMode="External"/><Relationship Id="rId180" Type="http://schemas.openxmlformats.org/officeDocument/2006/relationships/hyperlink" Target="https://www.base.gov.pt/Base4/pt/pesquisa/?type=contratos&amp;adjudicante=516549952" TargetMode="External"/><Relationship Id="rId181" Type="http://schemas.openxmlformats.org/officeDocument/2006/relationships/hyperlink" Target="https://www.base.gov.pt/Base4/pt/pesquisa/?type=contratos&amp;adjudicante=600078132" TargetMode="External"/><Relationship Id="rId182" Type="http://schemas.openxmlformats.org/officeDocument/2006/relationships/hyperlink" Target="https://www.base.gov.pt/Base4/pt/pesquisa/?type=contratos&amp;adjudicante=600078310" TargetMode="External"/><Relationship Id="rId183" Type="http://schemas.openxmlformats.org/officeDocument/2006/relationships/hyperlink" Target="https://www.base.gov.pt/Base4/pt/pesquisa/?type=contratos&amp;adjudicante=504404830" TargetMode="External"/><Relationship Id="rId184" Type="http://schemas.openxmlformats.org/officeDocument/2006/relationships/hyperlink" Target="https://www.base.gov.pt/Base4/pt/pesquisa/?type=contratos&amp;adjudicante=501330925" TargetMode="External"/><Relationship Id="rId185" Type="http://schemas.openxmlformats.org/officeDocument/2006/relationships/hyperlink" Target="https://www.base.gov.pt/Base4/pt/pesquisa/?type=contratos&amp;adjudicante=600079090" TargetMode="External"/><Relationship Id="rId186" Type="http://schemas.openxmlformats.org/officeDocument/2006/relationships/hyperlink" Target="https://www.base.gov.pt/Base4/pt/pesquisa/?type=contratos&amp;adjudicante=504646885" TargetMode="External"/><Relationship Id="rId187" Type="http://schemas.openxmlformats.org/officeDocument/2006/relationships/hyperlink" Target="https://www.base.gov.pt/Base4/pt/pesquisa/?type=contratos&amp;adjudicante=503455580" TargetMode="External"/><Relationship Id="rId188" Type="http://schemas.openxmlformats.org/officeDocument/2006/relationships/hyperlink" Target="https://www.base.gov.pt/Base4/pt/pesquisa/?type=contratos&amp;adjudicante=600074161" TargetMode="External"/><Relationship Id="rId189" Type="http://schemas.openxmlformats.org/officeDocument/2006/relationships/hyperlink" Target="https://www.base.gov.pt/Base4/pt/pesquisa/?type=contratos&amp;adjudicante=502513306" TargetMode="External"/><Relationship Id="rId190" Type="http://schemas.openxmlformats.org/officeDocument/2006/relationships/hyperlink" Target="https://www.base.gov.pt/Base4/pt/pesquisa/?type=contratos&amp;adjudicante=510838260" TargetMode="External"/><Relationship Id="rId191" Type="http://schemas.openxmlformats.org/officeDocument/2006/relationships/hyperlink" Target="https://www.base.gov.pt/Base4/pt/pesquisa/?type=contratos&amp;adjudicante=600077055" TargetMode="External"/><Relationship Id="rId192" Type="http://schemas.openxmlformats.org/officeDocument/2006/relationships/hyperlink" Target="https://www.base.gov.pt/Base4/pt/pesquisa/?type=contratos&amp;adjudicante=600070093" TargetMode="External"/><Relationship Id="rId193" Type="http://schemas.openxmlformats.org/officeDocument/2006/relationships/hyperlink" Target="https://www.base.gov.pt/Base4/pt/pesquisa/?type=contratos&amp;adjudicante=506928209" TargetMode="External"/><Relationship Id="rId194" Type="http://schemas.openxmlformats.org/officeDocument/2006/relationships/hyperlink" Target="https://www.base.gov.pt/Base4/pt/pesquisa/?type=contratos&amp;adjudicante=502380438" TargetMode="External"/><Relationship Id="rId195" Type="http://schemas.openxmlformats.org/officeDocument/2006/relationships/hyperlink" Target="https://www.base.gov.pt/Base4/pt/pesquisa/?type=contratos&amp;adjudicante=500934177" TargetMode="External"/><Relationship Id="rId196" Type="http://schemas.openxmlformats.org/officeDocument/2006/relationships/hyperlink" Target="https://www.base.gov.pt/Base4/pt/pesquisa/?type=contratos&amp;adjudicante=501524614" TargetMode="External"/><Relationship Id="rId197" Type="http://schemas.openxmlformats.org/officeDocument/2006/relationships/hyperlink" Target="https://www.base.gov.pt/Base4/pt/pesquisa/?type=contratos&amp;adjudicante=501449752" TargetMode="External"/><Relationship Id="rId198" Type="http://schemas.openxmlformats.org/officeDocument/2006/relationships/hyperlink" Target="https://www.base.gov.pt/Base4/pt/pesquisa/?type=contratos&amp;adjudicante=502217502" TargetMode="External"/><Relationship Id="rId199" Type="http://schemas.openxmlformats.org/officeDocument/2006/relationships/hyperlink" Target="https://www.base.gov.pt/Base4/pt/pesquisa/?type=contratos&amp;adjudicante=507186265" TargetMode="External"/><Relationship Id="rId200" Type="http://schemas.openxmlformats.org/officeDocument/2006/relationships/hyperlink" Target="https://www.base.gov.pt/Base4/pt/pesquisa/?type=contratos&amp;adjudicante=503092584" TargetMode="External"/><Relationship Id="rId201" Type="http://schemas.openxmlformats.org/officeDocument/2006/relationships/hyperlink" Target="https://www.base.gov.pt/Base4/pt/pesquisa/?type=contratos&amp;adjudicante=507021789" TargetMode="External"/><Relationship Id="rId202" Type="http://schemas.openxmlformats.org/officeDocument/2006/relationships/hyperlink" Target="https://www.base.gov.pt/Base4/pt/pesquisa/?type=contratos&amp;adjudicante=507853024" TargetMode="External"/><Relationship Id="rId203" Type="http://schemas.openxmlformats.org/officeDocument/2006/relationships/hyperlink" Target="https://www.base.gov.pt/Base4/pt/pesquisa/?type=contratos&amp;adjudicante=500875278" TargetMode="External"/><Relationship Id="rId204" Type="http://schemas.openxmlformats.org/officeDocument/2006/relationships/hyperlink" Target="https://www.base.gov.pt/Base4/pt/pesquisa/?type=contratos&amp;adjudicante=510839118" TargetMode="External"/><Relationship Id="rId205" Type="http://schemas.openxmlformats.org/officeDocument/2006/relationships/hyperlink" Target="https://www.base.gov.pt/Base4/pt/pesquisa/?type=contratos&amp;adjudicante=500086826" TargetMode="External"/><Relationship Id="rId206" Type="http://schemas.openxmlformats.org/officeDocument/2006/relationships/hyperlink" Target="https://www.base.gov.pt/Base4/pt/pesquisa/?type=contratos&amp;adjudicante=510834922" TargetMode="External"/><Relationship Id="rId207" Type="http://schemas.openxmlformats.org/officeDocument/2006/relationships/hyperlink" Target="https://www.base.gov.pt/Base4/pt/pesquisa/?type=contratos&amp;adjudicante=501460888" TargetMode="External"/><Relationship Id="rId208" Type="http://schemas.openxmlformats.org/officeDocument/2006/relationships/hyperlink" Target="https://www.base.gov.pt/Base4/pt/pesquisa/?type=contratos&amp;adjudicante=510840221" TargetMode="External"/><Relationship Id="rId209" Type="http://schemas.openxmlformats.org/officeDocument/2006/relationships/hyperlink" Target="https://www.base.gov.pt/Base4/pt/pesquisa/?type=contratos&amp;adjudicante=517348608" TargetMode="External"/><Relationship Id="rId210" Type="http://schemas.openxmlformats.org/officeDocument/2006/relationships/hyperlink" Target="https://www.base.gov.pt/Base4/pt/pesquisa/?type=contratos&amp;adjudicante=502274697" TargetMode="External"/><Relationship Id="rId211" Type="http://schemas.openxmlformats.org/officeDocument/2006/relationships/hyperlink" Target="https://www.base.gov.pt/Base4/pt/pesquisa/?type=contratos&amp;adjudicante=510837905" TargetMode="External"/><Relationship Id="rId212" Type="http://schemas.openxmlformats.org/officeDocument/2006/relationships/hyperlink" Target="https://www.base.gov.pt/Base4/pt/pesquisa/?type=contratos&amp;adjudicante=902201930" TargetMode="External"/><Relationship Id="rId213" Type="http://schemas.openxmlformats.org/officeDocument/2006/relationships/hyperlink" Target="https://www.base.gov.pt/Base4/pt/pesquisa/?type=contratos&amp;adjudicante=500820511" TargetMode="External"/><Relationship Id="rId214" Type="http://schemas.openxmlformats.org/officeDocument/2006/relationships/hyperlink" Target="https://www.base.gov.pt/Base4/pt/pesquisa/?type=contratos&amp;adjudicante=902120743" TargetMode="External"/><Relationship Id="rId215" Type="http://schemas.openxmlformats.org/officeDocument/2006/relationships/hyperlink" Target="https://www.base.gov.pt/Base4/pt/pesquisa/?type=contratos&amp;adjudicante=500989087" TargetMode="External"/><Relationship Id="rId216" Type="http://schemas.openxmlformats.org/officeDocument/2006/relationships/hyperlink" Target="https://www.base.gov.pt/Base4/pt/pesquisa/?type=contratos&amp;adjudicante=516508423" TargetMode="External"/><Relationship Id="rId217" Type="http://schemas.openxmlformats.org/officeDocument/2006/relationships/hyperlink" Target="https://www.base.gov.pt/Base4/pt/pesquisa/?type=contratos&amp;adjudicante=500636834" TargetMode="External"/><Relationship Id="rId218" Type="http://schemas.openxmlformats.org/officeDocument/2006/relationships/hyperlink" Target="https://www.base.gov.pt/Base4/pt/pesquisa/?type=contratos&amp;adjudicante=503408077" TargetMode="External"/><Relationship Id="rId219" Type="http://schemas.openxmlformats.org/officeDocument/2006/relationships/hyperlink" Target="https://www.base.gov.pt/Base4/pt/pesquisa/?type=contratos&amp;adjudicante=506947971" TargetMode="External"/><Relationship Id="rId220" Type="http://schemas.openxmlformats.org/officeDocument/2006/relationships/hyperlink" Target="https://www.base.gov.pt/Base4/pt/pesquisa/?type=contratos&amp;adjudicante=514482290" TargetMode="External"/><Relationship Id="rId221" Type="http://schemas.openxmlformats.org/officeDocument/2006/relationships/hyperlink" Target="https://www.base.gov.pt/Base4/pt/pesquisa/?type=contratos&amp;adjudicante=600078329" TargetMode="External"/><Relationship Id="rId222" Type="http://schemas.openxmlformats.org/officeDocument/2006/relationships/hyperlink" Target="https://www.base.gov.pt/Base4/pt/pesquisa/?type=contratos&amp;adjudicante=516033727" TargetMode="External"/><Relationship Id="rId223" Type="http://schemas.openxmlformats.org/officeDocument/2006/relationships/hyperlink" Target="https://www.base.gov.pt/Base4/pt/pesquisa/?type=contratos&amp;adjudicante=600082024" TargetMode="External"/><Relationship Id="rId224" Type="http://schemas.openxmlformats.org/officeDocument/2006/relationships/hyperlink" Target="https://www.base.gov.pt/Base4/pt/pesquisa/?type=contratos&amp;adjudicante=510838022" TargetMode="External"/><Relationship Id="rId225" Type="http://schemas.openxmlformats.org/officeDocument/2006/relationships/hyperlink" Target="https://www.base.gov.pt/Base4/pt/pesquisa/?type=contratos&amp;adjudicante=600077152" TargetMode="External"/><Relationship Id="rId226" Type="http://schemas.openxmlformats.org/officeDocument/2006/relationships/hyperlink" Target="https://www.base.gov.pt/Base4/pt/pesquisa/?type=contratos&amp;adjudicante=600073688" TargetMode="External"/><Relationship Id="rId22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ase.gov.pt/Base4/pt/detalhe/?type=contratos&amp;id=15720050" TargetMode="External"/><Relationship Id="rId2" Type="http://schemas.openxmlformats.org/officeDocument/2006/relationships/hyperlink" Target="https://www.base.gov.pt/Base4/pt/detalhe/?type=contratos&amp;id=15610893" TargetMode="External"/><Relationship Id="rId3" Type="http://schemas.openxmlformats.org/officeDocument/2006/relationships/hyperlink" Target="https://www.base.gov.pt/Base4/pt/detalhe/?type=contratos&amp;id=15610963" TargetMode="External"/><Relationship Id="rId4" Type="http://schemas.openxmlformats.org/officeDocument/2006/relationships/hyperlink" Target="https://www.base.gov.pt/Base4/pt/detalhe/?type=contratos&amp;id=15601209" TargetMode="External"/><Relationship Id="rId5" Type="http://schemas.openxmlformats.org/officeDocument/2006/relationships/hyperlink" Target="https://www.base.gov.pt/Base4/pt/detalhe/?type=contratos&amp;id=15603013" TargetMode="External"/><Relationship Id="rId6" Type="http://schemas.openxmlformats.org/officeDocument/2006/relationships/hyperlink" Target="https://www.base.gov.pt/Base4/pt/detalhe/?type=contratos&amp;id=15642521" TargetMode="External"/><Relationship Id="rId7" Type="http://schemas.openxmlformats.org/officeDocument/2006/relationships/hyperlink" Target="https://www.base.gov.pt/Base4/pt/detalhe/?type=contratos&amp;id=15636277" TargetMode="External"/><Relationship Id="rId8" Type="http://schemas.openxmlformats.org/officeDocument/2006/relationships/hyperlink" Target="https://www.base.gov.pt/Base4/pt/detalhe/?type=contratos&amp;id=15627263" TargetMode="External"/><Relationship Id="rId9" Type="http://schemas.openxmlformats.org/officeDocument/2006/relationships/hyperlink" Target="https://www.base.gov.pt/Base4/pt/detalhe/?type=contratos&amp;id=15601705" TargetMode="External"/><Relationship Id="rId10" Type="http://schemas.openxmlformats.org/officeDocument/2006/relationships/hyperlink" Target="https://www.base.gov.pt/Base4/pt/detalhe/?type=contratos&amp;id=15563794" TargetMode="External"/><Relationship Id="rId11" Type="http://schemas.openxmlformats.org/officeDocument/2006/relationships/hyperlink" Target="https://www.base.gov.pt/Base4/pt/detalhe/?type=contratos&amp;id=15712783" TargetMode="External"/><Relationship Id="rId12" Type="http://schemas.openxmlformats.org/officeDocument/2006/relationships/hyperlink" Target="https://www.base.gov.pt/Base4/pt/detalhe/?type=contratos&amp;id=15702873" TargetMode="External"/><Relationship Id="rId13" Type="http://schemas.openxmlformats.org/officeDocument/2006/relationships/hyperlink" Target="https://www.base.gov.pt/Base4/pt/detalhe/?type=contratos&amp;id=15652513" TargetMode="External"/><Relationship Id="rId14" Type="http://schemas.openxmlformats.org/officeDocument/2006/relationships/hyperlink" Target="https://www.base.gov.pt/Base4/pt/detalhe/?type=contratos&amp;id=15643944" TargetMode="External"/><Relationship Id="rId15" Type="http://schemas.openxmlformats.org/officeDocument/2006/relationships/hyperlink" Target="https://www.base.gov.pt/Base4/pt/detalhe/?type=contratos&amp;id=15614293" TargetMode="External"/><Relationship Id="rId16" Type="http://schemas.openxmlformats.org/officeDocument/2006/relationships/hyperlink" Target="https://www.base.gov.pt/Base4/pt/detalhe/?type=contratos&amp;id=15497334" TargetMode="External"/><Relationship Id="rId17" Type="http://schemas.openxmlformats.org/officeDocument/2006/relationships/hyperlink" Target="https://www.base.gov.pt/Base4/pt/detalhe/?type=contratos&amp;id=15406923" TargetMode="External"/><Relationship Id="rId18" Type="http://schemas.openxmlformats.org/officeDocument/2006/relationships/hyperlink" Target="https://www.base.gov.pt/Base4/pt/detalhe/?type=contratos&amp;id=15382898" TargetMode="External"/><Relationship Id="rId19" Type="http://schemas.openxmlformats.org/officeDocument/2006/relationships/hyperlink" Target="https://www.base.gov.pt/Base4/pt/detalhe/?type=contratos&amp;id=15087337" TargetMode="External"/><Relationship Id="rId20" Type="http://schemas.openxmlformats.org/officeDocument/2006/relationships/hyperlink" Target="https://www.base.gov.pt/Base4/pt/detalhe/?type=contratos&amp;id=14851625" TargetMode="External"/><Relationship Id="rId21" Type="http://schemas.openxmlformats.org/officeDocument/2006/relationships/hyperlink" Target="https://www.base.gov.pt/Base4/pt/detalhe/?type=contratos&amp;id=15667131" TargetMode="External"/><Relationship Id="rId22" Type="http://schemas.openxmlformats.org/officeDocument/2006/relationships/hyperlink" Target="https://www.base.gov.pt/Base4/pt/detalhe/?type=contratos&amp;id=15629055" TargetMode="External"/><Relationship Id="rId23" Type="http://schemas.openxmlformats.org/officeDocument/2006/relationships/hyperlink" Target="https://www.base.gov.pt/Base4/pt/detalhe/?type=contratos&amp;id=15594853" TargetMode="External"/><Relationship Id="rId24" Type="http://schemas.openxmlformats.org/officeDocument/2006/relationships/hyperlink" Target="https://www.base.gov.pt/Base4/pt/detalhe/?type=contratos&amp;id=15586700" TargetMode="External"/><Relationship Id="rId25" Type="http://schemas.openxmlformats.org/officeDocument/2006/relationships/hyperlink" Target="https://www.base.gov.pt/Base4/pt/detalhe/?type=contratos&amp;id=15575957" TargetMode="External"/><Relationship Id="rId26" Type="http://schemas.openxmlformats.org/officeDocument/2006/relationships/hyperlink" Target="https://www.base.gov.pt/Base4/pt/detalhe/?type=contratos&amp;id=15727347" TargetMode="External"/><Relationship Id="rId27" Type="http://schemas.openxmlformats.org/officeDocument/2006/relationships/hyperlink" Target="https://www.base.gov.pt/Base4/pt/detalhe/?type=contratos&amp;id=15647803" TargetMode="External"/><Relationship Id="rId28" Type="http://schemas.openxmlformats.org/officeDocument/2006/relationships/hyperlink" Target="https://www.base.gov.pt/Base4/pt/detalhe/?type=contratos&amp;id=15601522" TargetMode="External"/><Relationship Id="rId29" Type="http://schemas.openxmlformats.org/officeDocument/2006/relationships/hyperlink" Target="https://www.base.gov.pt/Base4/pt/detalhe/?type=contratos&amp;id=15602033" TargetMode="External"/><Relationship Id="rId30" Type="http://schemas.openxmlformats.org/officeDocument/2006/relationships/hyperlink" Target="https://www.base.gov.pt/Base4/pt/detalhe/?type=contratos&amp;id=15603877" TargetMode="External"/><Relationship Id="rId31" Type="http://schemas.openxmlformats.org/officeDocument/2006/relationships/hyperlink" Target="https://www.base.gov.pt/Base4/pt/detalhe/?type=contratos&amp;id=15670567" TargetMode="External"/><Relationship Id="rId32" Type="http://schemas.openxmlformats.org/officeDocument/2006/relationships/hyperlink" Target="https://www.base.gov.pt/Base4/pt/detalhe/?type=contratos&amp;id=15667078" TargetMode="External"/><Relationship Id="rId33" Type="http://schemas.openxmlformats.org/officeDocument/2006/relationships/hyperlink" Target="https://www.base.gov.pt/Base4/pt/detalhe/?type=contratos&amp;id=15618220" TargetMode="External"/><Relationship Id="rId34" Type="http://schemas.openxmlformats.org/officeDocument/2006/relationships/hyperlink" Target="https://www.base.gov.pt/Base4/pt/detalhe/?type=contratos&amp;id=15544734" TargetMode="External"/><Relationship Id="rId35" Type="http://schemas.openxmlformats.org/officeDocument/2006/relationships/hyperlink" Target="https://www.base.gov.pt/Base4/pt/detalhe/?type=contratos&amp;id=15535696" TargetMode="External"/><Relationship Id="rId36" Type="http://schemas.openxmlformats.org/officeDocument/2006/relationships/hyperlink" Target="https://www.base.gov.pt/Base4/pt/detalhe/?type=contratos&amp;id=15590764" TargetMode="External"/><Relationship Id="rId37" Type="http://schemas.openxmlformats.org/officeDocument/2006/relationships/hyperlink" Target="https://www.base.gov.pt/Base4/pt/detalhe/?type=contratos&amp;id=15591556" TargetMode="External"/><Relationship Id="rId38" Type="http://schemas.openxmlformats.org/officeDocument/2006/relationships/hyperlink" Target="https://www.base.gov.pt/Base4/pt/detalhe/?type=contratos&amp;id=15419701" TargetMode="External"/><Relationship Id="rId39" Type="http://schemas.openxmlformats.org/officeDocument/2006/relationships/hyperlink" Target="https://www.base.gov.pt/Base4/pt/detalhe/?type=contratos&amp;id=15310340" TargetMode="External"/><Relationship Id="rId40" Type="http://schemas.openxmlformats.org/officeDocument/2006/relationships/hyperlink" Target="https://www.base.gov.pt/Base4/pt/detalhe/?type=contratos&amp;id=15295648" TargetMode="External"/><Relationship Id="rId41" Type="http://schemas.openxmlformats.org/officeDocument/2006/relationships/hyperlink" Target="https://www.base.gov.pt/Base4/pt/detalhe/?type=contratos&amp;id=15543926" TargetMode="External"/><Relationship Id="rId42" Type="http://schemas.openxmlformats.org/officeDocument/2006/relationships/hyperlink" Target="https://www.base.gov.pt/Base4/pt/detalhe/?type=contratos&amp;id=15464913" TargetMode="External"/><Relationship Id="rId43" Type="http://schemas.openxmlformats.org/officeDocument/2006/relationships/hyperlink" Target="https://www.base.gov.pt/Base4/pt/detalhe/?type=contratos&amp;id=15456048" TargetMode="External"/><Relationship Id="rId44" Type="http://schemas.openxmlformats.org/officeDocument/2006/relationships/hyperlink" Target="https://www.base.gov.pt/Base4/pt/detalhe/?type=contratos&amp;id=15410726" TargetMode="External"/><Relationship Id="rId45" Type="http://schemas.openxmlformats.org/officeDocument/2006/relationships/hyperlink" Target="https://www.base.gov.pt/Base4/pt/detalhe/?type=contratos&amp;id=15357400" TargetMode="External"/><Relationship Id="rId46" Type="http://schemas.openxmlformats.org/officeDocument/2006/relationships/hyperlink" Target="https://www.base.gov.pt/Base4/pt/detalhe/?type=contratos&amp;id=15527836" TargetMode="External"/><Relationship Id="rId47" Type="http://schemas.openxmlformats.org/officeDocument/2006/relationships/hyperlink" Target="https://www.base.gov.pt/Base4/pt/detalhe/?type=contratos&amp;id=15380351" TargetMode="External"/><Relationship Id="rId48" Type="http://schemas.openxmlformats.org/officeDocument/2006/relationships/hyperlink" Target="https://www.base.gov.pt/Base4/pt/detalhe/?type=contratos&amp;id=15278527" TargetMode="External"/><Relationship Id="rId49" Type="http://schemas.openxmlformats.org/officeDocument/2006/relationships/hyperlink" Target="https://www.base.gov.pt/Base4/pt/detalhe/?type=contratos&amp;id=15183799" TargetMode="External"/><Relationship Id="rId50" Type="http://schemas.openxmlformats.org/officeDocument/2006/relationships/hyperlink" Target="https://www.base.gov.pt/Base4/pt/detalhe/?type=contratos&amp;id=15166434" TargetMode="External"/><Relationship Id="rId51" Type="http://schemas.openxmlformats.org/officeDocument/2006/relationships/hyperlink" Target="https://www.base.gov.pt/Base4/pt/detalhe/?type=contratos&amp;id=15591013" TargetMode="External"/><Relationship Id="rId52" Type="http://schemas.openxmlformats.org/officeDocument/2006/relationships/hyperlink" Target="https://www.base.gov.pt/Base4/pt/detalhe/?type=contratos&amp;id=15588452" TargetMode="External"/><Relationship Id="rId53" Type="http://schemas.openxmlformats.org/officeDocument/2006/relationships/hyperlink" Target="https://www.base.gov.pt/Base4/pt/detalhe/?type=contratos&amp;id=15529119" TargetMode="External"/><Relationship Id="rId54" Type="http://schemas.openxmlformats.org/officeDocument/2006/relationships/hyperlink" Target="https://www.base.gov.pt/Base4/pt/detalhe/?type=contratos&amp;id=15521770" TargetMode="External"/><Relationship Id="rId55" Type="http://schemas.openxmlformats.org/officeDocument/2006/relationships/hyperlink" Target="https://www.base.gov.pt/Base4/pt/detalhe/?type=contratos&amp;id=15521962" TargetMode="External"/><Relationship Id="rId56" Type="http://schemas.openxmlformats.org/officeDocument/2006/relationships/hyperlink" Target="https://www.base.gov.pt/Base4/pt/detalhe/?type=contratos&amp;id=15529950" TargetMode="External"/><Relationship Id="rId57" Type="http://schemas.openxmlformats.org/officeDocument/2006/relationships/hyperlink" Target="https://www.base.gov.pt/Base4/pt/detalhe/?type=contratos&amp;id=15267083" TargetMode="External"/><Relationship Id="rId58" Type="http://schemas.openxmlformats.org/officeDocument/2006/relationships/hyperlink" Target="https://www.base.gov.pt/Base4/pt/detalhe/?type=contratos&amp;id=15233530" TargetMode="External"/><Relationship Id="rId59" Type="http://schemas.openxmlformats.org/officeDocument/2006/relationships/hyperlink" Target="https://www.base.gov.pt/Base4/pt/detalhe/?type=contratos&amp;id=15226720" TargetMode="External"/><Relationship Id="rId60" Type="http://schemas.openxmlformats.org/officeDocument/2006/relationships/hyperlink" Target="https://www.base.gov.pt/Base4/pt/detalhe/?type=contratos&amp;id=15213922" TargetMode="External"/><Relationship Id="rId61" Type="http://schemas.openxmlformats.org/officeDocument/2006/relationships/hyperlink" Target="https://www.base.gov.pt/Base4/pt/detalhe/?type=contratos&amp;id=15718759" TargetMode="External"/><Relationship Id="rId62" Type="http://schemas.openxmlformats.org/officeDocument/2006/relationships/hyperlink" Target="https://www.base.gov.pt/Base4/pt/detalhe/?type=contratos&amp;id=15714671" TargetMode="External"/><Relationship Id="rId63" Type="http://schemas.openxmlformats.org/officeDocument/2006/relationships/hyperlink" Target="https://www.base.gov.pt/Base4/pt/detalhe/?type=contratos&amp;id=15625408" TargetMode="External"/><Relationship Id="rId64" Type="http://schemas.openxmlformats.org/officeDocument/2006/relationships/hyperlink" Target="https://www.base.gov.pt/Base4/pt/detalhe/?type=contratos&amp;id=15539231" TargetMode="External"/><Relationship Id="rId65" Type="http://schemas.openxmlformats.org/officeDocument/2006/relationships/hyperlink" Target="https://www.base.gov.pt/Base4/pt/detalhe/?type=contratos&amp;id=15525275" TargetMode="External"/><Relationship Id="rId66" Type="http://schemas.openxmlformats.org/officeDocument/2006/relationships/hyperlink" Target="https://www.base.gov.pt/Base4/pt/detalhe/?type=contratos&amp;id=15594833" TargetMode="External"/><Relationship Id="rId67" Type="http://schemas.openxmlformats.org/officeDocument/2006/relationships/hyperlink" Target="https://www.base.gov.pt/Base4/pt/detalhe/?type=contratos&amp;id=15554640" TargetMode="External"/><Relationship Id="rId68" Type="http://schemas.openxmlformats.org/officeDocument/2006/relationships/hyperlink" Target="https://www.base.gov.pt/Base4/pt/detalhe/?type=contratos&amp;id=15523609" TargetMode="External"/><Relationship Id="rId69" Type="http://schemas.openxmlformats.org/officeDocument/2006/relationships/hyperlink" Target="https://www.base.gov.pt/Base4/pt/detalhe/?type=contratos&amp;id=15282332" TargetMode="External"/><Relationship Id="rId70" Type="http://schemas.openxmlformats.org/officeDocument/2006/relationships/hyperlink" Target="https://www.base.gov.pt/Base4/pt/detalhe/?type=contratos&amp;id=15282505" TargetMode="External"/><Relationship Id="rId71" Type="http://schemas.openxmlformats.org/officeDocument/2006/relationships/hyperlink" Target="https://www.base.gov.pt/Base4/pt/detalhe/?type=contratos&amp;id=15495663" TargetMode="External"/><Relationship Id="rId72" Type="http://schemas.openxmlformats.org/officeDocument/2006/relationships/hyperlink" Target="https://www.base.gov.pt/Base4/pt/detalhe/?type=contratos&amp;id=15479368" TargetMode="External"/><Relationship Id="rId73" Type="http://schemas.openxmlformats.org/officeDocument/2006/relationships/hyperlink" Target="https://www.base.gov.pt/Base4/pt/detalhe/?type=contratos&amp;id=15349460" TargetMode="External"/><Relationship Id="rId74" Type="http://schemas.openxmlformats.org/officeDocument/2006/relationships/hyperlink" Target="https://www.base.gov.pt/Base4/pt/detalhe/?type=contratos&amp;id=15352660" TargetMode="External"/><Relationship Id="rId75" Type="http://schemas.openxmlformats.org/officeDocument/2006/relationships/hyperlink" Target="https://www.base.gov.pt/Base4/pt/detalhe/?type=contratos&amp;id=14997176" TargetMode="External"/><Relationship Id="rId76" Type="http://schemas.openxmlformats.org/officeDocument/2006/relationships/hyperlink" Target="https://www.base.gov.pt/Base4/pt/detalhe/?type=contratos&amp;id=15633219" TargetMode="External"/><Relationship Id="rId77" Type="http://schemas.openxmlformats.org/officeDocument/2006/relationships/hyperlink" Target="https://www.base.gov.pt/Base4/pt/detalhe/?type=contratos&amp;id=15532907" TargetMode="External"/><Relationship Id="rId78" Type="http://schemas.openxmlformats.org/officeDocument/2006/relationships/hyperlink" Target="https://www.base.gov.pt/Base4/pt/detalhe/?type=contratos&amp;id=15505073" TargetMode="External"/><Relationship Id="rId79" Type="http://schemas.openxmlformats.org/officeDocument/2006/relationships/hyperlink" Target="https://www.base.gov.pt/Base4/pt/detalhe/?type=contratos&amp;id=15294548" TargetMode="External"/><Relationship Id="rId80" Type="http://schemas.openxmlformats.org/officeDocument/2006/relationships/hyperlink" Target="https://www.base.gov.pt/Base4/pt/detalhe/?type=contratos&amp;id=15195030" TargetMode="External"/><Relationship Id="rId81" Type="http://schemas.openxmlformats.org/officeDocument/2006/relationships/hyperlink" Target="https://www.base.gov.pt/Base4/pt/detalhe/?type=contratos&amp;id=15361365" TargetMode="External"/><Relationship Id="rId82" Type="http://schemas.openxmlformats.org/officeDocument/2006/relationships/hyperlink" Target="https://www.base.gov.pt/Base4/pt/detalhe/?type=contratos&amp;id=15296501" TargetMode="External"/><Relationship Id="rId83" Type="http://schemas.openxmlformats.org/officeDocument/2006/relationships/hyperlink" Target="https://www.base.gov.pt/Base4/pt/detalhe/?type=contratos&amp;id=15239464" TargetMode="External"/><Relationship Id="rId84" Type="http://schemas.openxmlformats.org/officeDocument/2006/relationships/hyperlink" Target="https://www.base.gov.pt/Base4/pt/detalhe/?type=contratos&amp;id=15225079" TargetMode="External"/><Relationship Id="rId85" Type="http://schemas.openxmlformats.org/officeDocument/2006/relationships/hyperlink" Target="https://www.base.gov.pt/Base4/pt/detalhe/?type=contratos&amp;id=15126012" TargetMode="External"/><Relationship Id="rId86" Type="http://schemas.openxmlformats.org/officeDocument/2006/relationships/hyperlink" Target="https://www.base.gov.pt/Base4/pt/detalhe/?type=contratos&amp;id=15652528" TargetMode="External"/><Relationship Id="rId87" Type="http://schemas.openxmlformats.org/officeDocument/2006/relationships/hyperlink" Target="https://www.base.gov.pt/Base4/pt/detalhe/?type=contratos&amp;id=15632580" TargetMode="External"/><Relationship Id="rId88" Type="http://schemas.openxmlformats.org/officeDocument/2006/relationships/hyperlink" Target="https://www.base.gov.pt/Base4/pt/detalhe/?type=contratos&amp;id=15569127" TargetMode="External"/><Relationship Id="rId89" Type="http://schemas.openxmlformats.org/officeDocument/2006/relationships/hyperlink" Target="https://www.base.gov.pt/Base4/pt/detalhe/?type=contratos&amp;id=15511546" TargetMode="External"/><Relationship Id="rId90" Type="http://schemas.openxmlformats.org/officeDocument/2006/relationships/hyperlink" Target="https://www.base.gov.pt/Base4/pt/detalhe/?type=contratos&amp;id=15495978" TargetMode="External"/><Relationship Id="rId91" Type="http://schemas.openxmlformats.org/officeDocument/2006/relationships/hyperlink" Target="https://www.base.gov.pt/Base4/pt/detalhe/?type=contratos&amp;id=15442684" TargetMode="External"/><Relationship Id="rId92" Type="http://schemas.openxmlformats.org/officeDocument/2006/relationships/hyperlink" Target="https://www.base.gov.pt/Base4/pt/detalhe/?type=contratos&amp;id=15313192" TargetMode="External"/><Relationship Id="rId93" Type="http://schemas.openxmlformats.org/officeDocument/2006/relationships/hyperlink" Target="https://www.base.gov.pt/Base4/pt/detalhe/?type=contratos&amp;id=15181854" TargetMode="External"/><Relationship Id="rId94" Type="http://schemas.openxmlformats.org/officeDocument/2006/relationships/hyperlink" Target="https://www.base.gov.pt/Base4/pt/detalhe/?type=contratos&amp;id=15045508" TargetMode="External"/><Relationship Id="rId95" Type="http://schemas.openxmlformats.org/officeDocument/2006/relationships/hyperlink" Target="https://www.base.gov.pt/Base4/pt/detalhe/?type=contratos&amp;id=14843819" TargetMode="External"/><Relationship Id="rId96" Type="http://schemas.openxmlformats.org/officeDocument/2006/relationships/hyperlink" Target="https://www.base.gov.pt/Base4/pt/detalhe/?type=contratos&amp;id=15664472" TargetMode="External"/><Relationship Id="rId97" Type="http://schemas.openxmlformats.org/officeDocument/2006/relationships/hyperlink" Target="https://www.base.gov.pt/Base4/pt/detalhe/?type=contratos&amp;id=15651860" TargetMode="External"/><Relationship Id="rId98" Type="http://schemas.openxmlformats.org/officeDocument/2006/relationships/hyperlink" Target="https://www.base.gov.pt/Base4/pt/detalhe/?type=contratos&amp;id=15310375" TargetMode="External"/><Relationship Id="rId99" Type="http://schemas.openxmlformats.org/officeDocument/2006/relationships/hyperlink" Target="https://www.base.gov.pt/Base4/pt/detalhe/?type=contratos&amp;id=15294159" TargetMode="External"/><Relationship Id="rId100" Type="http://schemas.openxmlformats.org/officeDocument/2006/relationships/hyperlink" Target="https://www.base.gov.pt/Base4/pt/detalhe/?type=contratos&amp;id=15296355" TargetMode="External"/><Relationship Id="rId101" Type="http://schemas.openxmlformats.org/officeDocument/2006/relationships/hyperlink" Target="https://www.base.gov.pt/Base4/pt/detalhe/?type=contratos&amp;id=15642105" TargetMode="External"/><Relationship Id="rId102" Type="http://schemas.openxmlformats.org/officeDocument/2006/relationships/hyperlink" Target="https://www.base.gov.pt/Base4/pt/detalhe/?type=contratos&amp;id=15618604" TargetMode="External"/><Relationship Id="rId103" Type="http://schemas.openxmlformats.org/officeDocument/2006/relationships/hyperlink" Target="https://www.base.gov.pt/Base4/pt/detalhe/?type=contratos&amp;id=15540648" TargetMode="External"/><Relationship Id="rId104" Type="http://schemas.openxmlformats.org/officeDocument/2006/relationships/hyperlink" Target="https://www.base.gov.pt/Base4/pt/detalhe/?type=contratos&amp;id=15472289" TargetMode="External"/><Relationship Id="rId105" Type="http://schemas.openxmlformats.org/officeDocument/2006/relationships/hyperlink" Target="https://www.base.gov.pt/Base4/pt/detalhe/?type=contratos&amp;id=14973526" TargetMode="External"/><Relationship Id="rId106" Type="http://schemas.openxmlformats.org/officeDocument/2006/relationships/hyperlink" Target="https://www.base.gov.pt/Base4/pt/detalhe/?type=contratos&amp;id=15569124" TargetMode="External"/><Relationship Id="rId107" Type="http://schemas.openxmlformats.org/officeDocument/2006/relationships/hyperlink" Target="https://www.base.gov.pt/Base4/pt/detalhe/?type=contratos&amp;id=15523333" TargetMode="External"/><Relationship Id="rId108" Type="http://schemas.openxmlformats.org/officeDocument/2006/relationships/hyperlink" Target="https://www.base.gov.pt/Base4/pt/detalhe/?type=contratos&amp;id=15480373" TargetMode="External"/><Relationship Id="rId109" Type="http://schemas.openxmlformats.org/officeDocument/2006/relationships/hyperlink" Target="https://www.base.gov.pt/Base4/pt/detalhe/?type=contratos&amp;id=15470811" TargetMode="External"/><Relationship Id="rId110" Type="http://schemas.openxmlformats.org/officeDocument/2006/relationships/hyperlink" Target="https://www.base.gov.pt/Base4/pt/detalhe/?type=contratos&amp;id=15259428" TargetMode="External"/><Relationship Id="rId111" Type="http://schemas.openxmlformats.org/officeDocument/2006/relationships/hyperlink" Target="https://www.base.gov.pt/Base4/pt/detalhe/?type=contratos&amp;id=15678967" TargetMode="External"/><Relationship Id="rId112" Type="http://schemas.openxmlformats.org/officeDocument/2006/relationships/hyperlink" Target="https://www.base.gov.pt/Base4/pt/detalhe/?type=contratos&amp;id=15594345" TargetMode="External"/><Relationship Id="rId113" Type="http://schemas.openxmlformats.org/officeDocument/2006/relationships/hyperlink" Target="https://www.base.gov.pt/Base4/pt/detalhe/?type=contratos&amp;id=15526625" TargetMode="External"/><Relationship Id="rId114" Type="http://schemas.openxmlformats.org/officeDocument/2006/relationships/hyperlink" Target="https://www.base.gov.pt/Base4/pt/detalhe/?type=contratos&amp;id=15526716" TargetMode="External"/><Relationship Id="rId115" Type="http://schemas.openxmlformats.org/officeDocument/2006/relationships/hyperlink" Target="https://www.base.gov.pt/Base4/pt/detalhe/?type=contratos&amp;id=15522946" TargetMode="External"/><Relationship Id="rId116" Type="http://schemas.openxmlformats.org/officeDocument/2006/relationships/hyperlink" Target="https://www.base.gov.pt/Base4/pt/detalhe/?type=contratos&amp;id=15654453" TargetMode="External"/><Relationship Id="rId117" Type="http://schemas.openxmlformats.org/officeDocument/2006/relationships/hyperlink" Target="https://www.base.gov.pt/Base4/pt/detalhe/?type=contratos&amp;id=15512272" TargetMode="External"/><Relationship Id="rId118" Type="http://schemas.openxmlformats.org/officeDocument/2006/relationships/hyperlink" Target="https://www.base.gov.pt/Base4/pt/detalhe/?type=contratos&amp;id=15512538" TargetMode="External"/><Relationship Id="rId119" Type="http://schemas.openxmlformats.org/officeDocument/2006/relationships/hyperlink" Target="https://www.base.gov.pt/Base4/pt/detalhe/?type=contratos&amp;id=15368347" TargetMode="External"/><Relationship Id="rId120" Type="http://schemas.openxmlformats.org/officeDocument/2006/relationships/hyperlink" Target="https://www.base.gov.pt/Base4/pt/detalhe/?type=contratos&amp;id=14878563" TargetMode="External"/><Relationship Id="rId121" Type="http://schemas.openxmlformats.org/officeDocument/2006/relationships/hyperlink" Target="https://www.base.gov.pt/Base4/pt/detalhe/?type=contratos&amp;id=15410474" TargetMode="External"/><Relationship Id="rId122" Type="http://schemas.openxmlformats.org/officeDocument/2006/relationships/hyperlink" Target="https://www.base.gov.pt/Base4/pt/detalhe/?type=contratos&amp;id=15370897" TargetMode="External"/><Relationship Id="rId123" Type="http://schemas.openxmlformats.org/officeDocument/2006/relationships/hyperlink" Target="https://www.base.gov.pt/Base4/pt/detalhe/?type=contratos&amp;id=15371354" TargetMode="External"/><Relationship Id="rId124" Type="http://schemas.openxmlformats.org/officeDocument/2006/relationships/hyperlink" Target="https://www.base.gov.pt/Base4/pt/detalhe/?type=contratos&amp;id=15072264" TargetMode="External"/><Relationship Id="rId125" Type="http://schemas.openxmlformats.org/officeDocument/2006/relationships/hyperlink" Target="https://www.base.gov.pt/Base4/pt/detalhe/?type=contratos&amp;id=15034360" TargetMode="External"/><Relationship Id="rId126" Type="http://schemas.openxmlformats.org/officeDocument/2006/relationships/hyperlink" Target="https://www.base.gov.pt/Base4/pt/detalhe/?type=contratos&amp;id=15056374" TargetMode="External"/><Relationship Id="rId127" Type="http://schemas.openxmlformats.org/officeDocument/2006/relationships/hyperlink" Target="https://www.base.gov.pt/Base4/pt/detalhe/?type=contratos&amp;id=14888900" TargetMode="External"/><Relationship Id="rId128" Type="http://schemas.openxmlformats.org/officeDocument/2006/relationships/hyperlink" Target="https://www.base.gov.pt/Base4/pt/detalhe/?type=contratos&amp;id=14842306" TargetMode="External"/><Relationship Id="rId129" Type="http://schemas.openxmlformats.org/officeDocument/2006/relationships/hyperlink" Target="https://www.base.gov.pt/Base4/pt/detalhe/?type=contratos&amp;id=14346047" TargetMode="External"/><Relationship Id="rId130" Type="http://schemas.openxmlformats.org/officeDocument/2006/relationships/hyperlink" Target="https://www.base.gov.pt/Base4/pt/detalhe/?type=contratos&amp;id=12975101" TargetMode="External"/><Relationship Id="rId131" Type="http://schemas.openxmlformats.org/officeDocument/2006/relationships/hyperlink" Target="https://www.base.gov.pt/Base4/pt/detalhe/?type=contratos&amp;id=15623738" TargetMode="External"/><Relationship Id="rId132" Type="http://schemas.openxmlformats.org/officeDocument/2006/relationships/hyperlink" Target="https://www.base.gov.pt/Base4/pt/detalhe/?type=contratos&amp;id=15522332" TargetMode="External"/><Relationship Id="rId133" Type="http://schemas.openxmlformats.org/officeDocument/2006/relationships/hyperlink" Target="https://www.base.gov.pt/Base4/pt/detalhe/?type=contratos&amp;id=15496524" TargetMode="External"/><Relationship Id="rId134" Type="http://schemas.openxmlformats.org/officeDocument/2006/relationships/hyperlink" Target="https://www.base.gov.pt/Base4/pt/detalhe/?type=contratos&amp;id=15370421" TargetMode="External"/><Relationship Id="rId135" Type="http://schemas.openxmlformats.org/officeDocument/2006/relationships/hyperlink" Target="https://www.base.gov.pt/Base4/pt/detalhe/?type=contratos&amp;id=15258767" TargetMode="External"/><Relationship Id="rId136" Type="http://schemas.openxmlformats.org/officeDocument/2006/relationships/hyperlink" Target="https://www.base.gov.pt/Base4/pt/detalhe/?type=contratos&amp;id=15652876" TargetMode="External"/><Relationship Id="rId137" Type="http://schemas.openxmlformats.org/officeDocument/2006/relationships/hyperlink" Target="https://www.base.gov.pt/Base4/pt/detalhe/?type=contratos&amp;id=15577775" TargetMode="External"/><Relationship Id="rId138" Type="http://schemas.openxmlformats.org/officeDocument/2006/relationships/hyperlink" Target="https://www.base.gov.pt/Base4/pt/detalhe/?type=contratos&amp;id=14973896" TargetMode="External"/><Relationship Id="rId139" Type="http://schemas.openxmlformats.org/officeDocument/2006/relationships/hyperlink" Target="https://www.base.gov.pt/Base4/pt/detalhe/?type=contratos&amp;id=13708565" TargetMode="External"/><Relationship Id="rId140" Type="http://schemas.openxmlformats.org/officeDocument/2006/relationships/hyperlink" Target="https://www.base.gov.pt/Base4/pt/detalhe/?type=contratos&amp;id=12540404" TargetMode="External"/><Relationship Id="rId141" Type="http://schemas.openxmlformats.org/officeDocument/2006/relationships/hyperlink" Target="https://www.base.gov.pt/Base4/pt/detalhe/?type=contratos&amp;id=15680517" TargetMode="External"/><Relationship Id="rId142" Type="http://schemas.openxmlformats.org/officeDocument/2006/relationships/hyperlink" Target="https://www.base.gov.pt/Base4/pt/detalhe/?type=contratos&amp;id=15624943" TargetMode="External"/><Relationship Id="rId143" Type="http://schemas.openxmlformats.org/officeDocument/2006/relationships/hyperlink" Target="https://www.base.gov.pt/Base4/pt/detalhe/?type=contratos&amp;id=15518237" TargetMode="External"/><Relationship Id="rId144" Type="http://schemas.openxmlformats.org/officeDocument/2006/relationships/hyperlink" Target="https://www.base.gov.pt/Base4/pt/detalhe/?type=contratos&amp;id=15504836" TargetMode="External"/><Relationship Id="rId145" Type="http://schemas.openxmlformats.org/officeDocument/2006/relationships/hyperlink" Target="https://www.base.gov.pt/Base4/pt/detalhe/?type=contratos&amp;id=15496705" TargetMode="External"/><Relationship Id="rId146" Type="http://schemas.openxmlformats.org/officeDocument/2006/relationships/hyperlink" Target="https://www.base.gov.pt/Base4/pt/detalhe/?type=contratos&amp;id=15728134" TargetMode="External"/><Relationship Id="rId147" Type="http://schemas.openxmlformats.org/officeDocument/2006/relationships/hyperlink" Target="https://www.base.gov.pt/Base4/pt/detalhe/?type=contratos&amp;id=15489519" TargetMode="External"/><Relationship Id="rId148" Type="http://schemas.openxmlformats.org/officeDocument/2006/relationships/hyperlink" Target="https://www.base.gov.pt/Base4/pt/detalhe/?type=contratos&amp;id=15236633" TargetMode="External"/><Relationship Id="rId149" Type="http://schemas.openxmlformats.org/officeDocument/2006/relationships/hyperlink" Target="https://www.base.gov.pt/Base4/pt/detalhe/?type=contratos&amp;id=15174705" TargetMode="External"/><Relationship Id="rId150" Type="http://schemas.openxmlformats.org/officeDocument/2006/relationships/hyperlink" Target="https://www.base.gov.pt/Base4/pt/detalhe/?type=contratos&amp;id=15094883" TargetMode="External"/><Relationship Id="rId151" Type="http://schemas.openxmlformats.org/officeDocument/2006/relationships/hyperlink" Target="https://www.base.gov.pt/Base4/pt/detalhe/?type=contratos&amp;id=15612147" TargetMode="External"/><Relationship Id="rId152" Type="http://schemas.openxmlformats.org/officeDocument/2006/relationships/hyperlink" Target="https://www.base.gov.pt/Base4/pt/detalhe/?type=contratos&amp;id=15417134" TargetMode="External"/><Relationship Id="rId153" Type="http://schemas.openxmlformats.org/officeDocument/2006/relationships/hyperlink" Target="https://www.base.gov.pt/Base4/pt/detalhe/?type=contratos&amp;id=15057687" TargetMode="External"/><Relationship Id="rId154" Type="http://schemas.openxmlformats.org/officeDocument/2006/relationships/hyperlink" Target="https://www.base.gov.pt/Base4/pt/detalhe/?type=contratos&amp;id=14431719" TargetMode="External"/><Relationship Id="rId155" Type="http://schemas.openxmlformats.org/officeDocument/2006/relationships/hyperlink" Target="https://www.base.gov.pt/Base4/pt/detalhe/?type=contratos&amp;id=14277909" TargetMode="External"/><Relationship Id="rId156" Type="http://schemas.openxmlformats.org/officeDocument/2006/relationships/hyperlink" Target="https://www.base.gov.pt/Base4/pt/detalhe/?type=contratos&amp;id=15227965" TargetMode="External"/><Relationship Id="rId157" Type="http://schemas.openxmlformats.org/officeDocument/2006/relationships/hyperlink" Target="https://www.base.gov.pt/Base4/pt/detalhe/?type=contratos&amp;id=15151469" TargetMode="External"/><Relationship Id="rId158" Type="http://schemas.openxmlformats.org/officeDocument/2006/relationships/hyperlink" Target="https://www.base.gov.pt/Base4/pt/detalhe/?type=contratos&amp;id=15151787" TargetMode="External"/><Relationship Id="rId159" Type="http://schemas.openxmlformats.org/officeDocument/2006/relationships/hyperlink" Target="https://www.base.gov.pt/Base4/pt/detalhe/?type=contratos&amp;id=15048641" TargetMode="External"/><Relationship Id="rId160" Type="http://schemas.openxmlformats.org/officeDocument/2006/relationships/hyperlink" Target="https://www.base.gov.pt/Base4/pt/detalhe/?type=contratos&amp;id=15039932" TargetMode="External"/><Relationship Id="rId161" Type="http://schemas.openxmlformats.org/officeDocument/2006/relationships/hyperlink" Target="https://www.base.gov.pt/Base4/pt/detalhe/?type=contratos&amp;id=15600456" TargetMode="External"/><Relationship Id="rId162" Type="http://schemas.openxmlformats.org/officeDocument/2006/relationships/hyperlink" Target="https://www.base.gov.pt/Base4/pt/detalhe/?type=contratos&amp;id=15575677" TargetMode="External"/><Relationship Id="rId163" Type="http://schemas.openxmlformats.org/officeDocument/2006/relationships/hyperlink" Target="https://www.base.gov.pt/Base4/pt/detalhe/?type=contratos&amp;id=15480802" TargetMode="External"/><Relationship Id="rId164" Type="http://schemas.openxmlformats.org/officeDocument/2006/relationships/hyperlink" Target="https://www.base.gov.pt/Base4/pt/detalhe/?type=contratos&amp;id=15268523" TargetMode="External"/><Relationship Id="rId165" Type="http://schemas.openxmlformats.org/officeDocument/2006/relationships/hyperlink" Target="https://www.base.gov.pt/Base4/pt/detalhe/?type=contratos&amp;id=14785321" TargetMode="External"/><Relationship Id="rId166" Type="http://schemas.openxmlformats.org/officeDocument/2006/relationships/hyperlink" Target="https://www.base.gov.pt/Base4/pt/detalhe/?type=contratos&amp;id=15657009" TargetMode="External"/><Relationship Id="rId167" Type="http://schemas.openxmlformats.org/officeDocument/2006/relationships/hyperlink" Target="https://www.base.gov.pt/Base4/pt/detalhe/?type=contratos&amp;id=15652482" TargetMode="External"/><Relationship Id="rId168" Type="http://schemas.openxmlformats.org/officeDocument/2006/relationships/hyperlink" Target="https://www.base.gov.pt/Base4/pt/detalhe/?type=contratos&amp;id=15237150" TargetMode="External"/><Relationship Id="rId169" Type="http://schemas.openxmlformats.org/officeDocument/2006/relationships/hyperlink" Target="https://www.base.gov.pt/Base4/pt/detalhe/?type=contratos&amp;id=14476603" TargetMode="External"/><Relationship Id="rId170" Type="http://schemas.openxmlformats.org/officeDocument/2006/relationships/hyperlink" Target="https://www.base.gov.pt/Base4/pt/detalhe/?type=contratos&amp;id=13222151" TargetMode="External"/><Relationship Id="rId171" Type="http://schemas.openxmlformats.org/officeDocument/2006/relationships/hyperlink" Target="https://www.base.gov.pt/Base4/pt/detalhe/?type=contratos&amp;id=15482413" TargetMode="External"/><Relationship Id="rId172" Type="http://schemas.openxmlformats.org/officeDocument/2006/relationships/hyperlink" Target="https://www.base.gov.pt/Base4/pt/detalhe/?type=contratos&amp;id=15477644" TargetMode="External"/><Relationship Id="rId173" Type="http://schemas.openxmlformats.org/officeDocument/2006/relationships/hyperlink" Target="https://www.base.gov.pt/Base4/pt/detalhe/?type=contratos&amp;id=15458444" TargetMode="External"/><Relationship Id="rId174" Type="http://schemas.openxmlformats.org/officeDocument/2006/relationships/hyperlink" Target="https://www.base.gov.pt/Base4/pt/detalhe/?type=contratos&amp;id=15272732" TargetMode="External"/><Relationship Id="rId175" Type="http://schemas.openxmlformats.org/officeDocument/2006/relationships/hyperlink" Target="https://www.base.gov.pt/Base4/pt/detalhe/?type=contratos&amp;id=15252836" TargetMode="External"/><Relationship Id="rId176" Type="http://schemas.openxmlformats.org/officeDocument/2006/relationships/hyperlink" Target="https://www.base.gov.pt/Base4/pt/detalhe/?type=contratos&amp;id=15715702" TargetMode="External"/><Relationship Id="rId177" Type="http://schemas.openxmlformats.org/officeDocument/2006/relationships/hyperlink" Target="https://www.base.gov.pt/Base4/pt/detalhe/?type=contratos&amp;id=15164816" TargetMode="External"/><Relationship Id="rId178" Type="http://schemas.openxmlformats.org/officeDocument/2006/relationships/hyperlink" Target="https://www.base.gov.pt/Base4/pt/detalhe/?type=contratos&amp;id=15089918" TargetMode="External"/><Relationship Id="rId179" Type="http://schemas.openxmlformats.org/officeDocument/2006/relationships/hyperlink" Target="https://www.base.gov.pt/Base4/pt/detalhe/?type=contratos&amp;id=15069573" TargetMode="External"/><Relationship Id="rId180" Type="http://schemas.openxmlformats.org/officeDocument/2006/relationships/hyperlink" Target="https://www.base.gov.pt/Base4/pt/detalhe/?type=contratos&amp;id=14999152" TargetMode="External"/><Relationship Id="rId181" Type="http://schemas.openxmlformats.org/officeDocument/2006/relationships/hyperlink" Target="https://www.base.gov.pt/Base4/pt/detalhe/?type=contratos&amp;id=15627522" TargetMode="External"/><Relationship Id="rId182" Type="http://schemas.openxmlformats.org/officeDocument/2006/relationships/hyperlink" Target="https://www.base.gov.pt/Base4/pt/detalhe/?type=contratos&amp;id=15500857" TargetMode="External"/><Relationship Id="rId183" Type="http://schemas.openxmlformats.org/officeDocument/2006/relationships/hyperlink" Target="https://www.base.gov.pt/Base4/pt/detalhe/?type=contratos&amp;id=15032587" TargetMode="External"/><Relationship Id="rId184" Type="http://schemas.openxmlformats.org/officeDocument/2006/relationships/hyperlink" Target="https://www.base.gov.pt/Base4/pt/detalhe/?type=contratos&amp;id=13975170" TargetMode="External"/><Relationship Id="rId185" Type="http://schemas.openxmlformats.org/officeDocument/2006/relationships/hyperlink" Target="https://www.base.gov.pt/Base4/pt/detalhe/?type=contratos&amp;id=11983507" TargetMode="External"/><Relationship Id="rId186" Type="http://schemas.openxmlformats.org/officeDocument/2006/relationships/hyperlink" Target="https://www.base.gov.pt/Base4/pt/detalhe/?type=contratos&amp;id=15442163" TargetMode="External"/><Relationship Id="rId187" Type="http://schemas.openxmlformats.org/officeDocument/2006/relationships/hyperlink" Target="https://www.base.gov.pt/Base4/pt/detalhe/?type=contratos&amp;id=15442374" TargetMode="External"/><Relationship Id="rId188" Type="http://schemas.openxmlformats.org/officeDocument/2006/relationships/hyperlink" Target="https://www.base.gov.pt/Base4/pt/detalhe/?type=contratos&amp;id=15442548" TargetMode="External"/><Relationship Id="rId189" Type="http://schemas.openxmlformats.org/officeDocument/2006/relationships/hyperlink" Target="https://www.base.gov.pt/Base4/pt/detalhe/?type=contratos&amp;id=15230779" TargetMode="External"/><Relationship Id="rId190" Type="http://schemas.openxmlformats.org/officeDocument/2006/relationships/hyperlink" Target="https://www.base.gov.pt/Base4/pt/detalhe/?type=contratos&amp;id=15054933" TargetMode="External"/><Relationship Id="rId191" Type="http://schemas.openxmlformats.org/officeDocument/2006/relationships/hyperlink" Target="https://www.base.gov.pt/Base4/pt/detalhe/?type=contratos&amp;id=15659977" TargetMode="External"/><Relationship Id="rId192" Type="http://schemas.openxmlformats.org/officeDocument/2006/relationships/hyperlink" Target="https://www.base.gov.pt/Base4/pt/detalhe/?type=contratos&amp;id=15639873" TargetMode="External"/><Relationship Id="rId193" Type="http://schemas.openxmlformats.org/officeDocument/2006/relationships/hyperlink" Target="https://www.base.gov.pt/Base4/pt/detalhe/?type=contratos&amp;id=15626038" TargetMode="External"/><Relationship Id="rId194" Type="http://schemas.openxmlformats.org/officeDocument/2006/relationships/hyperlink" Target="https://www.base.gov.pt/Base4/pt/detalhe/?type=contratos&amp;id=15610851" TargetMode="External"/><Relationship Id="rId195" Type="http://schemas.openxmlformats.org/officeDocument/2006/relationships/hyperlink" Target="https://www.base.gov.pt/Base4/pt/detalhe/?type=contratos&amp;id=15603865" TargetMode="External"/><Relationship Id="rId196" Type="http://schemas.openxmlformats.org/officeDocument/2006/relationships/hyperlink" Target="https://www.base.gov.pt/Base4/pt/detalhe/?type=contratos&amp;id=15256674" TargetMode="External"/><Relationship Id="rId197" Type="http://schemas.openxmlformats.org/officeDocument/2006/relationships/hyperlink" Target="https://www.base.gov.pt/Base4/pt/detalhe/?type=contratos&amp;id=14816802" TargetMode="External"/><Relationship Id="rId198" Type="http://schemas.openxmlformats.org/officeDocument/2006/relationships/hyperlink" Target="https://www.base.gov.pt/Base4/pt/detalhe/?type=contratos&amp;id=13701767" TargetMode="External"/><Relationship Id="rId199" Type="http://schemas.openxmlformats.org/officeDocument/2006/relationships/hyperlink" Target="https://www.base.gov.pt/Base4/pt/detalhe/?type=contratos&amp;id=13006537" TargetMode="External"/><Relationship Id="rId200" Type="http://schemas.openxmlformats.org/officeDocument/2006/relationships/hyperlink" Target="https://www.base.gov.pt/Base4/pt/detalhe/?type=contratos&amp;id=11773835" TargetMode="External"/><Relationship Id="rId201" Type="http://schemas.openxmlformats.org/officeDocument/2006/relationships/hyperlink" Target="https://www.base.gov.pt/Base4/pt/detalhe/?type=contratos&amp;id=15703861" TargetMode="External"/><Relationship Id="rId202" Type="http://schemas.openxmlformats.org/officeDocument/2006/relationships/hyperlink" Target="https://www.base.gov.pt/Base4/pt/detalhe/?type=contratos&amp;id=15676408" TargetMode="External"/><Relationship Id="rId203" Type="http://schemas.openxmlformats.org/officeDocument/2006/relationships/hyperlink" Target="https://www.base.gov.pt/Base4/pt/detalhe/?type=contratos&amp;id=15310788" TargetMode="External"/><Relationship Id="rId204" Type="http://schemas.openxmlformats.org/officeDocument/2006/relationships/hyperlink" Target="https://www.base.gov.pt/Base4/pt/detalhe/?type=contratos&amp;id=15019203" TargetMode="External"/><Relationship Id="rId205" Type="http://schemas.openxmlformats.org/officeDocument/2006/relationships/hyperlink" Target="https://www.base.gov.pt/Base4/pt/detalhe/?type=contratos&amp;id=12500532" TargetMode="External"/><Relationship Id="rId206" Type="http://schemas.openxmlformats.org/officeDocument/2006/relationships/hyperlink" Target="https://www.base.gov.pt/Base4/pt/detalhe/?type=contratos&amp;id=15544014" TargetMode="External"/><Relationship Id="rId207" Type="http://schemas.openxmlformats.org/officeDocument/2006/relationships/hyperlink" Target="https://www.base.gov.pt/Base4/pt/detalhe/?type=contratos&amp;id=15459455" TargetMode="External"/><Relationship Id="rId208" Type="http://schemas.openxmlformats.org/officeDocument/2006/relationships/hyperlink" Target="https://www.base.gov.pt/Base4/pt/detalhe/?type=contratos&amp;id=15417388" TargetMode="External"/><Relationship Id="rId209" Type="http://schemas.openxmlformats.org/officeDocument/2006/relationships/hyperlink" Target="https://www.base.gov.pt/Base4/pt/detalhe/?type=contratos&amp;id=14921907" TargetMode="External"/><Relationship Id="rId210" Type="http://schemas.openxmlformats.org/officeDocument/2006/relationships/hyperlink" Target="https://www.base.gov.pt/Base4/pt/detalhe/?type=contratos&amp;id=12204907" TargetMode="External"/><Relationship Id="rId211" Type="http://schemas.openxmlformats.org/officeDocument/2006/relationships/hyperlink" Target="https://www.base.gov.pt/Base4/pt/detalhe/?type=contratos&amp;id=15572661" TargetMode="External"/><Relationship Id="rId212" Type="http://schemas.openxmlformats.org/officeDocument/2006/relationships/hyperlink" Target="https://www.base.gov.pt/Base4/pt/detalhe/?type=contratos&amp;id=15518920" TargetMode="External"/><Relationship Id="rId213" Type="http://schemas.openxmlformats.org/officeDocument/2006/relationships/hyperlink" Target="https://www.base.gov.pt/Base4/pt/detalhe/?type=contratos&amp;id=15506100" TargetMode="External"/><Relationship Id="rId214" Type="http://schemas.openxmlformats.org/officeDocument/2006/relationships/hyperlink" Target="https://www.base.gov.pt/Base4/pt/detalhe/?type=contratos&amp;id=15111419" TargetMode="External"/><Relationship Id="rId215" Type="http://schemas.openxmlformats.org/officeDocument/2006/relationships/hyperlink" Target="https://www.base.gov.pt/Base4/pt/detalhe/?type=contratos&amp;id=14754010" TargetMode="External"/><Relationship Id="rId216" Type="http://schemas.openxmlformats.org/officeDocument/2006/relationships/hyperlink" Target="https://www.base.gov.pt/Base4/pt/detalhe/?type=contratos&amp;id=15710178" TargetMode="External"/><Relationship Id="rId217" Type="http://schemas.openxmlformats.org/officeDocument/2006/relationships/hyperlink" Target="https://www.base.gov.pt/Base4/pt/detalhe/?type=contratos&amp;id=15315452" TargetMode="External"/><Relationship Id="rId218" Type="http://schemas.openxmlformats.org/officeDocument/2006/relationships/hyperlink" Target="https://www.base.gov.pt/Base4/pt/detalhe/?type=contratos&amp;id=15306205" TargetMode="External"/><Relationship Id="rId219" Type="http://schemas.openxmlformats.org/officeDocument/2006/relationships/hyperlink" Target="https://www.base.gov.pt/Base4/pt/detalhe/?type=contratos&amp;id=15306276" TargetMode="External"/><Relationship Id="rId220" Type="http://schemas.openxmlformats.org/officeDocument/2006/relationships/hyperlink" Target="https://www.base.gov.pt/Base4/pt/detalhe/?type=contratos&amp;id=14720143" TargetMode="External"/><Relationship Id="rId221" Type="http://schemas.openxmlformats.org/officeDocument/2006/relationships/hyperlink" Target="https://www.base.gov.pt/Base4/pt/detalhe/?type=contratos&amp;id=14337570" TargetMode="External"/><Relationship Id="rId222" Type="http://schemas.openxmlformats.org/officeDocument/2006/relationships/hyperlink" Target="https://www.base.gov.pt/Base4/pt/detalhe/?type=contratos&amp;id=11962755" TargetMode="External"/><Relationship Id="rId223" Type="http://schemas.openxmlformats.org/officeDocument/2006/relationships/hyperlink" Target="https://www.base.gov.pt/Base4/pt/detalhe/?type=contratos&amp;id=11896291" TargetMode="External"/><Relationship Id="rId224" Type="http://schemas.openxmlformats.org/officeDocument/2006/relationships/hyperlink" Target="https://www.base.gov.pt/Base4/pt/detalhe/?type=contratos&amp;id=11687526" TargetMode="External"/><Relationship Id="rId225" Type="http://schemas.openxmlformats.org/officeDocument/2006/relationships/hyperlink" Target="https://www.base.gov.pt/Base4/pt/detalhe/?type=contratos&amp;id=11654370" TargetMode="External"/><Relationship Id="rId226" Type="http://schemas.openxmlformats.org/officeDocument/2006/relationships/hyperlink" Target="https://www.base.gov.pt/Base4/pt/detalhe/?type=contratos&amp;id=15131415" TargetMode="External"/><Relationship Id="rId227" Type="http://schemas.openxmlformats.org/officeDocument/2006/relationships/hyperlink" Target="https://www.base.gov.pt/Base4/pt/detalhe/?type=contratos&amp;id=14905593" TargetMode="External"/><Relationship Id="rId228" Type="http://schemas.openxmlformats.org/officeDocument/2006/relationships/hyperlink" Target="https://www.base.gov.pt/Base4/pt/detalhe/?type=contratos&amp;id=14499928" TargetMode="External"/><Relationship Id="rId229" Type="http://schemas.openxmlformats.org/officeDocument/2006/relationships/hyperlink" Target="https://www.base.gov.pt/Base4/pt/detalhe/?type=contratos&amp;id=14460888" TargetMode="External"/><Relationship Id="rId230" Type="http://schemas.openxmlformats.org/officeDocument/2006/relationships/hyperlink" Target="https://www.base.gov.pt/Base4/pt/detalhe/?type=contratos&amp;id=11972527" TargetMode="External"/><Relationship Id="rId231" Type="http://schemas.openxmlformats.org/officeDocument/2006/relationships/hyperlink" Target="https://www.base.gov.pt/Base4/pt/detalhe/?type=contratos&amp;id=15370112" TargetMode="External"/><Relationship Id="rId232" Type="http://schemas.openxmlformats.org/officeDocument/2006/relationships/hyperlink" Target="https://www.base.gov.pt/Base4/pt/detalhe/?type=contratos&amp;id=15200600" TargetMode="External"/><Relationship Id="rId233" Type="http://schemas.openxmlformats.org/officeDocument/2006/relationships/hyperlink" Target="https://www.base.gov.pt/Base4/pt/detalhe/?type=contratos&amp;id=14942150" TargetMode="External"/><Relationship Id="rId234" Type="http://schemas.openxmlformats.org/officeDocument/2006/relationships/hyperlink" Target="https://www.base.gov.pt/Base4/pt/detalhe/?type=contratos&amp;id=12442360" TargetMode="External"/><Relationship Id="rId235" Type="http://schemas.openxmlformats.org/officeDocument/2006/relationships/hyperlink" Target="https://www.base.gov.pt/Base4/pt/detalhe/?type=contratos&amp;id=11777071" TargetMode="External"/><Relationship Id="rId236" Type="http://schemas.openxmlformats.org/officeDocument/2006/relationships/hyperlink" Target="https://www.base.gov.pt/Base4/pt/detalhe/?type=contratos&amp;id=15220886" TargetMode="External"/><Relationship Id="rId237" Type="http://schemas.openxmlformats.org/officeDocument/2006/relationships/hyperlink" Target="https://www.base.gov.pt/Base4/pt/detalhe/?type=contratos&amp;id=14642699" TargetMode="External"/><Relationship Id="rId238" Type="http://schemas.openxmlformats.org/officeDocument/2006/relationships/hyperlink" Target="https://www.base.gov.pt/Base4/pt/detalhe/?type=contratos&amp;id=11391816" TargetMode="External"/><Relationship Id="rId239" Type="http://schemas.openxmlformats.org/officeDocument/2006/relationships/hyperlink" Target="https://www.base.gov.pt/Base4/pt/detalhe/?type=contratos&amp;id=14528790" TargetMode="External"/><Relationship Id="rId240" Type="http://schemas.openxmlformats.org/officeDocument/2006/relationships/hyperlink" Target="https://www.base.gov.pt/Base4/pt/detalhe/?type=contratos&amp;id=14408770" TargetMode="External"/><Relationship Id="rId241" Type="http://schemas.openxmlformats.org/officeDocument/2006/relationships/hyperlink" Target="https://www.base.gov.pt/Base4/pt/detalhe/?type=contratos&amp;id=14381230" TargetMode="External"/><Relationship Id="rId242" Type="http://schemas.openxmlformats.org/officeDocument/2006/relationships/hyperlink" Target="https://www.base.gov.pt/Base4/pt/detalhe/?type=contratos&amp;id=14377307" TargetMode="External"/><Relationship Id="rId243" Type="http://schemas.openxmlformats.org/officeDocument/2006/relationships/hyperlink" Target="https://www.base.gov.pt/Base4/pt/detalhe/?type=contratos&amp;id=12185623" TargetMode="External"/><Relationship Id="rId244" Type="http://schemas.openxmlformats.org/officeDocument/2006/relationships/hyperlink" Target="https://www.base.gov.pt/Base4/pt/detalhe/?type=contratos&amp;id=15465489" TargetMode="External"/><Relationship Id="rId245" Type="http://schemas.openxmlformats.org/officeDocument/2006/relationships/hyperlink" Target="https://www.base.gov.pt/Base4/pt/detalhe/?type=contratos&amp;id=15297031" TargetMode="External"/><Relationship Id="rId246" Type="http://schemas.openxmlformats.org/officeDocument/2006/relationships/hyperlink" Target="https://www.base.gov.pt/Base4/pt/detalhe/?type=contratos&amp;id=14504987" TargetMode="External"/><Relationship Id="rId247" Type="http://schemas.openxmlformats.org/officeDocument/2006/relationships/hyperlink" Target="https://www.base.gov.pt/Base4/pt/detalhe/?type=contratos&amp;id=12007987" TargetMode="External"/><Relationship Id="rId248" Type="http://schemas.openxmlformats.org/officeDocument/2006/relationships/hyperlink" Target="https://www.base.gov.pt/Base4/pt/detalhe/?type=contratos&amp;id=12009085" TargetMode="External"/><Relationship Id="rId249" Type="http://schemas.openxmlformats.org/officeDocument/2006/relationships/hyperlink" Target="https://www.base.gov.pt/Base4/pt/detalhe/?type=contratos&amp;id=14941870" TargetMode="External"/><Relationship Id="rId250" Type="http://schemas.openxmlformats.org/officeDocument/2006/relationships/hyperlink" Target="https://www.base.gov.pt/Base4/pt/detalhe/?type=contratos&amp;id=14944511" TargetMode="External"/><Relationship Id="rId251" Type="http://schemas.openxmlformats.org/officeDocument/2006/relationships/hyperlink" Target="https://www.base.gov.pt/Base4/pt/detalhe/?type=contratos&amp;id=12602486" TargetMode="External"/><Relationship Id="rId252" Type="http://schemas.openxmlformats.org/officeDocument/2006/relationships/hyperlink" Target="https://www.base.gov.pt/Base4/pt/detalhe/?type=contratos&amp;id=12600610" TargetMode="External"/><Relationship Id="rId253" Type="http://schemas.openxmlformats.org/officeDocument/2006/relationships/hyperlink" Target="https://www.base.gov.pt/Base4/pt/detalhe/?type=contratos&amp;id=11647254" TargetMode="External"/><Relationship Id="rId254" Type="http://schemas.openxmlformats.org/officeDocument/2006/relationships/hyperlink" Target="https://www.base.gov.pt/Base4/pt/detalhe/?type=contratos&amp;id=15212952" TargetMode="External"/><Relationship Id="rId255" Type="http://schemas.openxmlformats.org/officeDocument/2006/relationships/hyperlink" Target="https://www.base.gov.pt/Base4/pt/detalhe/?type=contratos&amp;id=13594923" TargetMode="External"/><Relationship Id="rId256" Type="http://schemas.openxmlformats.org/officeDocument/2006/relationships/hyperlink" Target="https://www.base.gov.pt/Base4/pt/detalhe/?type=contratos&amp;id=11526443" TargetMode="External"/><Relationship Id="rId257" Type="http://schemas.openxmlformats.org/officeDocument/2006/relationships/hyperlink" Target="https://www.base.gov.pt/Base4/pt/detalhe/?type=contratos&amp;id=11425422" TargetMode="External"/><Relationship Id="rId258" Type="http://schemas.openxmlformats.org/officeDocument/2006/relationships/hyperlink" Target="https://www.base.gov.pt/Base4/pt/detalhe/?type=contratos&amp;id=14546116" TargetMode="External"/><Relationship Id="rId259" Type="http://schemas.openxmlformats.org/officeDocument/2006/relationships/hyperlink" Target="https://www.base.gov.pt/Base4/pt/detalhe/?type=contratos&amp;id=14180622" TargetMode="External"/><Relationship Id="rId260" Type="http://schemas.openxmlformats.org/officeDocument/2006/relationships/hyperlink" Target="https://www.base.gov.pt/Base4/pt/detalhe/?type=contratos&amp;id=14182641" TargetMode="External"/><Relationship Id="rId261" Type="http://schemas.openxmlformats.org/officeDocument/2006/relationships/hyperlink" Target="https://www.base.gov.pt/Base4/pt/detalhe/?type=contratos&amp;id=13451351" TargetMode="External"/><Relationship Id="rId262" Type="http://schemas.openxmlformats.org/officeDocument/2006/relationships/hyperlink" Target="https://www.base.gov.pt/Base4/pt/detalhe/?type=contratos&amp;id=11391517" TargetMode="External"/><Relationship Id="rId263" Type="http://schemas.openxmlformats.org/officeDocument/2006/relationships/hyperlink" Target="https://www.base.gov.pt/Base4/pt/detalhe/?type=contratos&amp;id=15688339" TargetMode="External"/><Relationship Id="rId264" Type="http://schemas.openxmlformats.org/officeDocument/2006/relationships/hyperlink" Target="https://www.base.gov.pt/Base4/pt/detalhe/?type=contratos&amp;id=12509404" TargetMode="External"/><Relationship Id="rId265" Type="http://schemas.openxmlformats.org/officeDocument/2006/relationships/hyperlink" Target="https://www.base.gov.pt/Base4/pt/detalhe/?type=contratos&amp;id=12509971" TargetMode="External"/><Relationship Id="rId266" Type="http://schemas.openxmlformats.org/officeDocument/2006/relationships/hyperlink" Target="https://www.base.gov.pt/Base4/pt/detalhe/?type=contratos&amp;id=12198024" TargetMode="External"/><Relationship Id="rId267" Type="http://schemas.openxmlformats.org/officeDocument/2006/relationships/hyperlink" Target="https://www.base.gov.pt/Base4/pt/detalhe/?type=contratos&amp;id=11581509" TargetMode="External"/><Relationship Id="rId268" Type="http://schemas.openxmlformats.org/officeDocument/2006/relationships/hyperlink" Target="https://www.base.gov.pt/Base4/pt/detalhe/?type=contratos&amp;id=15706441" TargetMode="External"/><Relationship Id="rId269" Type="http://schemas.openxmlformats.org/officeDocument/2006/relationships/hyperlink" Target="https://www.base.gov.pt/Base4/pt/detalhe/?type=contratos&amp;id=15578849" TargetMode="External"/><Relationship Id="rId270" Type="http://schemas.openxmlformats.org/officeDocument/2006/relationships/hyperlink" Target="https://www.base.gov.pt/Base4/pt/detalhe/?type=contratos&amp;id=15530893" TargetMode="External"/><Relationship Id="rId271" Type="http://schemas.openxmlformats.org/officeDocument/2006/relationships/hyperlink" Target="https://www.base.gov.pt/Base4/pt/detalhe/?type=contratos&amp;id=15510220" TargetMode="External"/><Relationship Id="rId272" Type="http://schemas.openxmlformats.org/officeDocument/2006/relationships/hyperlink" Target="https://www.base.gov.pt/Base4/pt/detalhe/?type=contratos&amp;id=15195313" TargetMode="External"/><Relationship Id="rId273" Type="http://schemas.openxmlformats.org/officeDocument/2006/relationships/hyperlink" Target="https://www.base.gov.pt/Base4/pt/detalhe/?type=contratos&amp;id=14813709" TargetMode="External"/><Relationship Id="rId274" Type="http://schemas.openxmlformats.org/officeDocument/2006/relationships/hyperlink" Target="https://www.base.gov.pt/Base4/pt/detalhe/?type=contratos&amp;id=11851417" TargetMode="External"/><Relationship Id="rId275" Type="http://schemas.openxmlformats.org/officeDocument/2006/relationships/hyperlink" Target="https://www.base.gov.pt/Base4/pt/detalhe/?type=contratos&amp;id=11787554" TargetMode="External"/><Relationship Id="rId276" Type="http://schemas.openxmlformats.org/officeDocument/2006/relationships/hyperlink" Target="https://www.base.gov.pt/Base4/pt/detalhe/?type=contratos&amp;id=11527251" TargetMode="External"/><Relationship Id="rId277" Type="http://schemas.openxmlformats.org/officeDocument/2006/relationships/hyperlink" Target="https://www.base.gov.pt/Base4/pt/detalhe/?type=contratos&amp;id=11364647" TargetMode="External"/><Relationship Id="rId278" Type="http://schemas.openxmlformats.org/officeDocument/2006/relationships/hyperlink" Target="https://www.base.gov.pt/Base4/pt/detalhe/?type=contratos&amp;id=14251409" TargetMode="External"/><Relationship Id="rId279" Type="http://schemas.openxmlformats.org/officeDocument/2006/relationships/hyperlink" Target="https://www.base.gov.pt/Base4/pt/detalhe/?type=contratos&amp;id=14124497" TargetMode="External"/><Relationship Id="rId280" Type="http://schemas.openxmlformats.org/officeDocument/2006/relationships/hyperlink" Target="https://www.base.gov.pt/Base4/pt/detalhe/?type=contratos&amp;id=13353982" TargetMode="External"/><Relationship Id="rId281" Type="http://schemas.openxmlformats.org/officeDocument/2006/relationships/hyperlink" Target="https://www.base.gov.pt/Base4/pt/detalhe/?type=contratos&amp;id=13269439" TargetMode="External"/><Relationship Id="rId282" Type="http://schemas.openxmlformats.org/officeDocument/2006/relationships/hyperlink" Target="https://www.base.gov.pt/Base4/pt/detalhe/?type=contratos&amp;id=11536609" TargetMode="External"/><Relationship Id="rId283" Type="http://schemas.openxmlformats.org/officeDocument/2006/relationships/hyperlink" Target="https://www.base.gov.pt/Base4/pt/detalhe/?type=contratos&amp;id=15505133" TargetMode="External"/><Relationship Id="rId284" Type="http://schemas.openxmlformats.org/officeDocument/2006/relationships/hyperlink" Target="https://www.base.gov.pt/Base4/pt/detalhe/?type=contratos&amp;id=14936062" TargetMode="External"/><Relationship Id="rId285" Type="http://schemas.openxmlformats.org/officeDocument/2006/relationships/hyperlink" Target="https://www.base.gov.pt/Base4/pt/detalhe/?type=contratos&amp;id=14221918" TargetMode="External"/><Relationship Id="rId286" Type="http://schemas.openxmlformats.org/officeDocument/2006/relationships/hyperlink" Target="https://www.base.gov.pt/Base4/pt/detalhe/?type=contratos&amp;id=12902546" TargetMode="External"/><Relationship Id="rId287" Type="http://schemas.openxmlformats.org/officeDocument/2006/relationships/hyperlink" Target="https://www.base.gov.pt/Base4/pt/detalhe/?type=contratos&amp;id=11869912" TargetMode="External"/><Relationship Id="rId288" Type="http://schemas.openxmlformats.org/officeDocument/2006/relationships/hyperlink" Target="https://www.base.gov.pt/Base4/pt/detalhe/?type=contratos&amp;id=13063597" TargetMode="External"/><Relationship Id="rId289" Type="http://schemas.openxmlformats.org/officeDocument/2006/relationships/hyperlink" Target="https://www.base.gov.pt/Base4/pt/detalhe/?type=contratos&amp;id=12185259" TargetMode="External"/><Relationship Id="rId290" Type="http://schemas.openxmlformats.org/officeDocument/2006/relationships/hyperlink" Target="https://www.base.gov.pt/Base4/pt/detalhe/?type=contratos&amp;id=12150287" TargetMode="External"/><Relationship Id="rId291" Type="http://schemas.openxmlformats.org/officeDocument/2006/relationships/hyperlink" Target="https://www.base.gov.pt/Base4/pt/detalhe/?type=contratos&amp;id=11905683" TargetMode="External"/><Relationship Id="rId292" Type="http://schemas.openxmlformats.org/officeDocument/2006/relationships/hyperlink" Target="https://www.base.gov.pt/Base4/pt/detalhe/?type=contratos&amp;id=15623258" TargetMode="External"/><Relationship Id="rId293" Type="http://schemas.openxmlformats.org/officeDocument/2006/relationships/hyperlink" Target="https://www.base.gov.pt/Base4/pt/detalhe/?type=contratos&amp;id=14014404" TargetMode="External"/><Relationship Id="rId294" Type="http://schemas.openxmlformats.org/officeDocument/2006/relationships/hyperlink" Target="https://www.base.gov.pt/Base4/pt/detalhe/?type=contratos&amp;id=13570030" TargetMode="External"/><Relationship Id="rId295" Type="http://schemas.openxmlformats.org/officeDocument/2006/relationships/hyperlink" Target="https://www.base.gov.pt/Base4/pt/detalhe/?type=contratos&amp;id=12472953" TargetMode="External"/><Relationship Id="rId296" Type="http://schemas.openxmlformats.org/officeDocument/2006/relationships/hyperlink" Target="https://www.base.gov.pt/Base4/pt/detalhe/?type=contratos&amp;id=12170450" TargetMode="External"/><Relationship Id="rId297" Type="http://schemas.openxmlformats.org/officeDocument/2006/relationships/hyperlink" Target="https://www.base.gov.pt/Base4/pt/detalhe/?type=contratos&amp;id=15572419" TargetMode="External"/><Relationship Id="rId298" Type="http://schemas.openxmlformats.org/officeDocument/2006/relationships/hyperlink" Target="https://www.base.gov.pt/Base4/pt/detalhe/?type=contratos&amp;id=15056887" TargetMode="External"/><Relationship Id="rId299" Type="http://schemas.openxmlformats.org/officeDocument/2006/relationships/hyperlink" Target="https://www.base.gov.pt/Base4/pt/detalhe/?type=contratos&amp;id=13118008" TargetMode="External"/><Relationship Id="rId300" Type="http://schemas.openxmlformats.org/officeDocument/2006/relationships/hyperlink" Target="https://www.base.gov.pt/Base4/pt/detalhe/?type=contratos&amp;id=11406679" TargetMode="External"/><Relationship Id="rId301" Type="http://schemas.openxmlformats.org/officeDocument/2006/relationships/hyperlink" Target="https://www.base.gov.pt/Base4/pt/detalhe/?type=contratos&amp;id=11392165" TargetMode="External"/><Relationship Id="rId302" Type="http://schemas.openxmlformats.org/officeDocument/2006/relationships/hyperlink" Target="https://www.base.gov.pt/Base4/pt/detalhe/?type=contratos&amp;id=15309529" TargetMode="External"/><Relationship Id="rId303" Type="http://schemas.openxmlformats.org/officeDocument/2006/relationships/hyperlink" Target="https://www.base.gov.pt/Base4/pt/detalhe/?type=contratos&amp;id=14693265" TargetMode="External"/><Relationship Id="rId304" Type="http://schemas.openxmlformats.org/officeDocument/2006/relationships/hyperlink" Target="https://www.base.gov.pt/Base4/pt/detalhe/?type=contratos&amp;id=13505438" TargetMode="External"/><Relationship Id="rId305" Type="http://schemas.openxmlformats.org/officeDocument/2006/relationships/hyperlink" Target="https://www.base.gov.pt/Base4/pt/detalhe/?type=contratos&amp;id=13505445" TargetMode="External"/><Relationship Id="rId306" Type="http://schemas.openxmlformats.org/officeDocument/2006/relationships/hyperlink" Target="https://www.base.gov.pt/Base4/pt/detalhe/?type=contratos&amp;id=11732559" TargetMode="External"/><Relationship Id="rId307" Type="http://schemas.openxmlformats.org/officeDocument/2006/relationships/hyperlink" Target="https://www.base.gov.pt/Base4/pt/detalhe/?type=contratos&amp;id=14803621" TargetMode="External"/><Relationship Id="rId308" Type="http://schemas.openxmlformats.org/officeDocument/2006/relationships/hyperlink" Target="https://www.base.gov.pt/Base4/pt/detalhe/?type=contratos&amp;id=14802482" TargetMode="External"/><Relationship Id="rId309" Type="http://schemas.openxmlformats.org/officeDocument/2006/relationships/hyperlink" Target="https://www.base.gov.pt/Base4/pt/detalhe/?type=contratos&amp;id=15651995" TargetMode="External"/><Relationship Id="rId310" Type="http://schemas.openxmlformats.org/officeDocument/2006/relationships/hyperlink" Target="https://www.base.gov.pt/Base4/pt/detalhe/?type=contratos&amp;id=12546097" TargetMode="External"/><Relationship Id="rId311" Type="http://schemas.openxmlformats.org/officeDocument/2006/relationships/hyperlink" Target="https://www.base.gov.pt/Base4/pt/detalhe/?type=contratos&amp;id=15632693" TargetMode="External"/><Relationship Id="rId312" Type="http://schemas.openxmlformats.org/officeDocument/2006/relationships/hyperlink" Target="https://www.base.gov.pt/Base4/pt/detalhe/?type=contratos&amp;id=14556599" TargetMode="External"/><Relationship Id="rId313" Type="http://schemas.openxmlformats.org/officeDocument/2006/relationships/hyperlink" Target="https://www.base.gov.pt/Base4/pt/detalhe/?type=contratos&amp;id=13596348" TargetMode="External"/><Relationship Id="rId314" Type="http://schemas.openxmlformats.org/officeDocument/2006/relationships/hyperlink" Target="https://www.base.gov.pt/Base4/pt/detalhe/?type=contratos&amp;id=11468536" TargetMode="External"/><Relationship Id="rId315" Type="http://schemas.openxmlformats.org/officeDocument/2006/relationships/hyperlink" Target="https://www.base.gov.pt/Base4/pt/detalhe/?type=contratos&amp;id=15659500" TargetMode="External"/><Relationship Id="rId316" Type="http://schemas.openxmlformats.org/officeDocument/2006/relationships/hyperlink" Target="https://www.base.gov.pt/Base4/pt/detalhe/?type=contratos&amp;id=15341028" TargetMode="External"/><Relationship Id="rId317" Type="http://schemas.openxmlformats.org/officeDocument/2006/relationships/hyperlink" Target="https://www.base.gov.pt/Base4/pt/detalhe/?type=contratos&amp;id=15337764" TargetMode="External"/><Relationship Id="rId318" Type="http://schemas.openxmlformats.org/officeDocument/2006/relationships/hyperlink" Target="https://www.base.gov.pt/Base4/pt/detalhe/?type=contratos&amp;id=15295019" TargetMode="External"/><Relationship Id="rId319" Type="http://schemas.openxmlformats.org/officeDocument/2006/relationships/hyperlink" Target="https://www.base.gov.pt/Base4/pt/detalhe/?type=contratos&amp;id=15231027" TargetMode="External"/><Relationship Id="rId320" Type="http://schemas.openxmlformats.org/officeDocument/2006/relationships/hyperlink" Target="https://www.base.gov.pt/Base4/pt/detalhe/?type=contratos&amp;id=15204689" TargetMode="External"/><Relationship Id="rId321" Type="http://schemas.openxmlformats.org/officeDocument/2006/relationships/hyperlink" Target="https://www.base.gov.pt/Base4/pt/detalhe/?type=contratos&amp;id=15204821" TargetMode="External"/><Relationship Id="rId322" Type="http://schemas.openxmlformats.org/officeDocument/2006/relationships/hyperlink" Target="https://www.base.gov.pt/Base4/pt/detalhe/?type=contratos&amp;id=14975832" TargetMode="External"/><Relationship Id="rId323" Type="http://schemas.openxmlformats.org/officeDocument/2006/relationships/hyperlink" Target="https://www.base.gov.pt/Base4/pt/detalhe/?type=contratos&amp;id=14976398" TargetMode="External"/><Relationship Id="rId324" Type="http://schemas.openxmlformats.org/officeDocument/2006/relationships/hyperlink" Target="https://www.base.gov.pt/Base4/pt/detalhe/?type=contratos&amp;id=15112548" TargetMode="External"/><Relationship Id="rId325" Type="http://schemas.openxmlformats.org/officeDocument/2006/relationships/hyperlink" Target="https://www.base.gov.pt/Base4/pt/detalhe/?type=contratos&amp;id=13780674" TargetMode="External"/><Relationship Id="rId326" Type="http://schemas.openxmlformats.org/officeDocument/2006/relationships/hyperlink" Target="https://www.base.gov.pt/Base4/pt/detalhe/?type=contratos&amp;id=11590418" TargetMode="External"/><Relationship Id="rId327" Type="http://schemas.openxmlformats.org/officeDocument/2006/relationships/hyperlink" Target="https://www.base.gov.pt/Base4/pt/detalhe/?type=contratos&amp;id=11369785" TargetMode="External"/><Relationship Id="rId328" Type="http://schemas.openxmlformats.org/officeDocument/2006/relationships/hyperlink" Target="https://www.base.gov.pt/Base4/pt/detalhe/?type=contratos&amp;id=15381249" TargetMode="External"/><Relationship Id="rId329" Type="http://schemas.openxmlformats.org/officeDocument/2006/relationships/hyperlink" Target="https://www.base.gov.pt/Base4/pt/detalhe/?type=contratos&amp;id=15381510" TargetMode="External"/><Relationship Id="rId330" Type="http://schemas.openxmlformats.org/officeDocument/2006/relationships/hyperlink" Target="https://www.base.gov.pt/Base4/pt/detalhe/?type=contratos&amp;id=15382144" TargetMode="External"/><Relationship Id="rId331" Type="http://schemas.openxmlformats.org/officeDocument/2006/relationships/hyperlink" Target="https://www.base.gov.pt/Base4/pt/detalhe/?type=contratos&amp;id=15383249" TargetMode="External"/><Relationship Id="rId332" Type="http://schemas.openxmlformats.org/officeDocument/2006/relationships/hyperlink" Target="https://www.base.gov.pt/Base4/pt/detalhe/?type=contratos&amp;id=11586288" TargetMode="External"/><Relationship Id="rId333" Type="http://schemas.openxmlformats.org/officeDocument/2006/relationships/hyperlink" Target="https://www.base.gov.pt/Base4/pt/detalhe/?type=contratos&amp;id=13861174" TargetMode="External"/><Relationship Id="rId334" Type="http://schemas.openxmlformats.org/officeDocument/2006/relationships/hyperlink" Target="https://www.base.gov.pt/Base4/pt/detalhe/?type=contratos&amp;id=12182419" TargetMode="External"/><Relationship Id="rId335" Type="http://schemas.openxmlformats.org/officeDocument/2006/relationships/hyperlink" Target="https://www.base.gov.pt/Base4/pt/detalhe/?type=contratos&amp;id=11914222" TargetMode="External"/><Relationship Id="rId336" Type="http://schemas.openxmlformats.org/officeDocument/2006/relationships/hyperlink" Target="https://www.base.gov.pt/Base4/pt/detalhe/?type=contratos&amp;id=11369053" TargetMode="External"/><Relationship Id="rId337" Type="http://schemas.openxmlformats.org/officeDocument/2006/relationships/hyperlink" Target="https://www.base.gov.pt/Base4/pt/detalhe/?type=contratos&amp;id=11854280" TargetMode="External"/><Relationship Id="rId338" Type="http://schemas.openxmlformats.org/officeDocument/2006/relationships/hyperlink" Target="https://www.base.gov.pt/Base4/pt/detalhe/?type=contratos&amp;id=11854486" TargetMode="External"/><Relationship Id="rId339" Type="http://schemas.openxmlformats.org/officeDocument/2006/relationships/hyperlink" Target="https://www.base.gov.pt/Base4/pt/detalhe/?type=contratos&amp;id=11854650" TargetMode="External"/><Relationship Id="rId340" Type="http://schemas.openxmlformats.org/officeDocument/2006/relationships/hyperlink" Target="https://www.base.gov.pt/Base4/pt/detalhe/?type=contratos&amp;id=11489458" TargetMode="External"/><Relationship Id="rId341" Type="http://schemas.openxmlformats.org/officeDocument/2006/relationships/hyperlink" Target="https://www.base.gov.pt/Base4/pt/detalhe/?type=contratos&amp;id=14970256" TargetMode="External"/><Relationship Id="rId342" Type="http://schemas.openxmlformats.org/officeDocument/2006/relationships/hyperlink" Target="https://www.base.gov.pt/Base4/pt/detalhe/?type=contratos&amp;id=14752982" TargetMode="External"/><Relationship Id="rId343" Type="http://schemas.openxmlformats.org/officeDocument/2006/relationships/hyperlink" Target="https://www.base.gov.pt/Base4/pt/detalhe/?type=contratos&amp;id=14553495" TargetMode="External"/><Relationship Id="rId344" Type="http://schemas.openxmlformats.org/officeDocument/2006/relationships/hyperlink" Target="https://www.base.gov.pt/Base4/pt/detalhe/?type=contratos&amp;id=11524619" TargetMode="External"/><Relationship Id="rId345" Type="http://schemas.openxmlformats.org/officeDocument/2006/relationships/hyperlink" Target="https://www.base.gov.pt/Base4/pt/detalhe/?type=contratos&amp;id=11426909" TargetMode="External"/><Relationship Id="rId346" Type="http://schemas.openxmlformats.org/officeDocument/2006/relationships/hyperlink" Target="https://www.base.gov.pt/Base4/pt/detalhe/?type=contratos&amp;id=11408996" TargetMode="External"/><Relationship Id="rId347" Type="http://schemas.openxmlformats.org/officeDocument/2006/relationships/hyperlink" Target="https://www.base.gov.pt/Base4/pt/detalhe/?type=contratos&amp;id=15579482" TargetMode="External"/><Relationship Id="rId348" Type="http://schemas.openxmlformats.org/officeDocument/2006/relationships/hyperlink" Target="https://www.base.gov.pt/Base4/pt/detalhe/?type=contratos&amp;id=12064654" TargetMode="External"/><Relationship Id="rId349" Type="http://schemas.openxmlformats.org/officeDocument/2006/relationships/hyperlink" Target="https://www.base.gov.pt/Base4/pt/detalhe/?type=contratos&amp;id=11473215" TargetMode="External"/><Relationship Id="rId350" Type="http://schemas.openxmlformats.org/officeDocument/2006/relationships/hyperlink" Target="https://www.base.gov.pt/Base4/pt/detalhe/?type=contratos&amp;id=15182703" TargetMode="External"/><Relationship Id="rId351" Type="http://schemas.openxmlformats.org/officeDocument/2006/relationships/hyperlink" Target="https://www.base.gov.pt/Base4/pt/detalhe/?type=contratos&amp;id=15175058" TargetMode="External"/><Relationship Id="rId352" Type="http://schemas.openxmlformats.org/officeDocument/2006/relationships/hyperlink" Target="https://www.base.gov.pt/Base4/pt/detalhe/?type=contratos&amp;id=12430745" TargetMode="External"/><Relationship Id="rId353" Type="http://schemas.openxmlformats.org/officeDocument/2006/relationships/hyperlink" Target="https://www.base.gov.pt/Base4/pt/detalhe/?type=contratos&amp;id=15592806" TargetMode="External"/><Relationship Id="rId354" Type="http://schemas.openxmlformats.org/officeDocument/2006/relationships/hyperlink" Target="https://www.base.gov.pt/Base4/pt/detalhe/?type=contratos&amp;id=13505495" TargetMode="External"/><Relationship Id="rId355" Type="http://schemas.openxmlformats.org/officeDocument/2006/relationships/hyperlink" Target="https://www.base.gov.pt/Base4/pt/detalhe/?type=contratos&amp;id=11849006" TargetMode="External"/><Relationship Id="rId356" Type="http://schemas.openxmlformats.org/officeDocument/2006/relationships/hyperlink" Target="https://www.base.gov.pt/Base4/pt/detalhe/?type=contratos&amp;id=11778907" TargetMode="External"/><Relationship Id="rId357" Type="http://schemas.openxmlformats.org/officeDocument/2006/relationships/hyperlink" Target="https://www.base.gov.pt/Base4/pt/detalhe/?type=contratos&amp;id=11899446" TargetMode="External"/><Relationship Id="rId358" Type="http://schemas.openxmlformats.org/officeDocument/2006/relationships/hyperlink" Target="https://www.base.gov.pt/Base4/pt/detalhe/?type=contratos&amp;id=11630194" TargetMode="External"/><Relationship Id="rId359" Type="http://schemas.openxmlformats.org/officeDocument/2006/relationships/hyperlink" Target="https://www.base.gov.pt/Base4/pt/detalhe/?type=contratos&amp;id=15542755" TargetMode="External"/><Relationship Id="rId360" Type="http://schemas.openxmlformats.org/officeDocument/2006/relationships/hyperlink" Target="https://www.base.gov.pt/Base4/pt/detalhe/?type=contratos&amp;id=14127976" TargetMode="External"/><Relationship Id="rId361" Type="http://schemas.openxmlformats.org/officeDocument/2006/relationships/hyperlink" Target="https://www.base.gov.pt/Base4/pt/detalhe/?type=contratos&amp;id=12259026" TargetMode="External"/><Relationship Id="rId362" Type="http://schemas.openxmlformats.org/officeDocument/2006/relationships/hyperlink" Target="https://www.base.gov.pt/Base4/pt/detalhe/?type=contratos&amp;id=14669278" TargetMode="External"/><Relationship Id="rId363" Type="http://schemas.openxmlformats.org/officeDocument/2006/relationships/hyperlink" Target="https://www.base.gov.pt/Base4/pt/detalhe/?type=contratos&amp;id=14680475" TargetMode="External"/><Relationship Id="rId364" Type="http://schemas.openxmlformats.org/officeDocument/2006/relationships/hyperlink" Target="https://www.base.gov.pt/Base4/pt/detalhe/?type=contratos&amp;id=12709455" TargetMode="External"/><Relationship Id="rId365" Type="http://schemas.openxmlformats.org/officeDocument/2006/relationships/hyperlink" Target="https://www.base.gov.pt/Base4/pt/detalhe/?type=contratos&amp;id=13448839" TargetMode="External"/><Relationship Id="rId366" Type="http://schemas.openxmlformats.org/officeDocument/2006/relationships/hyperlink" Target="https://www.base.gov.pt/Base4/pt/detalhe/?type=contratos&amp;id=11839689" TargetMode="External"/><Relationship Id="rId367" Type="http://schemas.openxmlformats.org/officeDocument/2006/relationships/hyperlink" Target="https://www.base.gov.pt/Base4/pt/detalhe/?type=contratos&amp;id=11370722" TargetMode="External"/><Relationship Id="rId368" Type="http://schemas.openxmlformats.org/officeDocument/2006/relationships/hyperlink" Target="https://www.base.gov.pt/Base4/pt/detalhe/?type=contratos&amp;id=13282612" TargetMode="External"/><Relationship Id="rId369" Type="http://schemas.openxmlformats.org/officeDocument/2006/relationships/hyperlink" Target="https://www.base.gov.pt/Base4/pt/detalhe/?type=contratos&amp;id=12015158" TargetMode="External"/><Relationship Id="rId370" Type="http://schemas.openxmlformats.org/officeDocument/2006/relationships/hyperlink" Target="https://www.base.gov.pt/Base4/pt/detalhe/?type=contratos&amp;id=11815887" TargetMode="External"/><Relationship Id="rId371" Type="http://schemas.openxmlformats.org/officeDocument/2006/relationships/hyperlink" Target="https://www.base.gov.pt/Base4/pt/detalhe/?type=contratos&amp;id=11990342" TargetMode="External"/><Relationship Id="rId372" Type="http://schemas.openxmlformats.org/officeDocument/2006/relationships/hyperlink" Target="https://www.base.gov.pt/Base4/pt/detalhe/?type=contratos&amp;id=11990513" TargetMode="External"/><Relationship Id="rId373" Type="http://schemas.openxmlformats.org/officeDocument/2006/relationships/hyperlink" Target="https://www.base.gov.pt/Base4/pt/detalhe/?type=contratos&amp;id=11620705" TargetMode="External"/><Relationship Id="rId374" Type="http://schemas.openxmlformats.org/officeDocument/2006/relationships/hyperlink" Target="https://www.base.gov.pt/Base4/pt/detalhe/?type=contratos&amp;id=11951923" TargetMode="External"/><Relationship Id="rId375" Type="http://schemas.openxmlformats.org/officeDocument/2006/relationships/hyperlink" Target="https://www.base.gov.pt/Base4/pt/detalhe/?type=contratos&amp;id=11622433" TargetMode="External"/><Relationship Id="rId376" Type="http://schemas.openxmlformats.org/officeDocument/2006/relationships/hyperlink" Target="https://www.base.gov.pt/Base4/pt/detalhe/?type=contratos&amp;id=11488506" TargetMode="External"/><Relationship Id="rId377" Type="http://schemas.openxmlformats.org/officeDocument/2006/relationships/hyperlink" Target="https://www.base.gov.pt/Base4/pt/detalhe/?type=contratos&amp;id=11899197" TargetMode="External"/><Relationship Id="rId378" Type="http://schemas.openxmlformats.org/officeDocument/2006/relationships/hyperlink" Target="https://www.base.gov.pt/Base4/pt/detalhe/?type=contratos&amp;id=11899221" TargetMode="External"/><Relationship Id="rId379" Type="http://schemas.openxmlformats.org/officeDocument/2006/relationships/hyperlink" Target="https://www.base.gov.pt/Base4/pt/detalhe/?type=contratos&amp;id=11521220" TargetMode="External"/><Relationship Id="rId380" Type="http://schemas.openxmlformats.org/officeDocument/2006/relationships/hyperlink" Target="https://www.base.gov.pt/Base4/pt/detalhe/?type=contratos&amp;id=15604991" TargetMode="External"/><Relationship Id="rId381" Type="http://schemas.openxmlformats.org/officeDocument/2006/relationships/hyperlink" Target="https://www.base.gov.pt/Base4/pt/detalhe/?type=contratos&amp;id=12199181" TargetMode="External"/><Relationship Id="rId382" Type="http://schemas.openxmlformats.org/officeDocument/2006/relationships/hyperlink" Target="https://www.base.gov.pt/Base4/pt/detalhe/?type=contratos&amp;id=11865353" TargetMode="External"/><Relationship Id="rId383" Type="http://schemas.openxmlformats.org/officeDocument/2006/relationships/hyperlink" Target="https://www.base.gov.pt/Base4/pt/detalhe/?type=contratos&amp;id=11540818" TargetMode="External"/><Relationship Id="rId384" Type="http://schemas.openxmlformats.org/officeDocument/2006/relationships/hyperlink" Target="https://www.base.gov.pt/Base4/pt/detalhe/?type=contratos&amp;id=15280299" TargetMode="External"/><Relationship Id="rId385" Type="http://schemas.openxmlformats.org/officeDocument/2006/relationships/hyperlink" Target="https://www.base.gov.pt/Base4/pt/detalhe/?type=contratos&amp;id=15016660" TargetMode="External"/><Relationship Id="rId386" Type="http://schemas.openxmlformats.org/officeDocument/2006/relationships/hyperlink" Target="https://www.base.gov.pt/Base4/pt/detalhe/?type=contratos&amp;id=14991973" TargetMode="External"/><Relationship Id="rId387" Type="http://schemas.openxmlformats.org/officeDocument/2006/relationships/hyperlink" Target="https://www.base.gov.pt/Base4/pt/detalhe/?type=contratos&amp;id=14953447" TargetMode="External"/><Relationship Id="rId388" Type="http://schemas.openxmlformats.org/officeDocument/2006/relationships/hyperlink" Target="https://www.base.gov.pt/Base4/pt/detalhe/?type=contratos&amp;id=14607011" TargetMode="External"/><Relationship Id="rId389" Type="http://schemas.openxmlformats.org/officeDocument/2006/relationships/hyperlink" Target="https://www.base.gov.pt/Base4/pt/detalhe/?type=contratos&amp;id=13489589" TargetMode="External"/><Relationship Id="rId390" Type="http://schemas.openxmlformats.org/officeDocument/2006/relationships/hyperlink" Target="https://www.base.gov.pt/Base4/pt/detalhe/?type=contratos&amp;id=15263166" TargetMode="External"/><Relationship Id="rId391" Type="http://schemas.openxmlformats.org/officeDocument/2006/relationships/hyperlink" Target="https://www.base.gov.pt/Base4/pt/detalhe/?type=contratos&amp;id=11392565" TargetMode="External"/><Relationship Id="rId392" Type="http://schemas.openxmlformats.org/officeDocument/2006/relationships/hyperlink" Target="https://www.base.gov.pt/Base4/pt/detalhe/?type=contratos&amp;id=15478437" TargetMode="External"/><Relationship Id="rId393" Type="http://schemas.openxmlformats.org/officeDocument/2006/relationships/hyperlink" Target="https://www.base.gov.pt/Base4/pt/detalhe/?type=contratos&amp;id=15479344" TargetMode="External"/><Relationship Id="rId394" Type="http://schemas.openxmlformats.org/officeDocument/2006/relationships/hyperlink" Target="https://www.base.gov.pt/Base4/pt/detalhe/?type=contratos&amp;id=15469620" TargetMode="External"/><Relationship Id="rId395" Type="http://schemas.openxmlformats.org/officeDocument/2006/relationships/hyperlink" Target="https://www.base.gov.pt/Base4/pt/detalhe/?type=contratos&amp;id=15469800" TargetMode="External"/><Relationship Id="rId396" Type="http://schemas.openxmlformats.org/officeDocument/2006/relationships/hyperlink" Target="https://www.base.gov.pt/Base4/pt/detalhe/?type=contratos&amp;id=15441712" TargetMode="External"/><Relationship Id="rId397" Type="http://schemas.openxmlformats.org/officeDocument/2006/relationships/hyperlink" Target="https://www.base.gov.pt/Base4/pt/detalhe/?type=contratos&amp;id=15282552" TargetMode="External"/><Relationship Id="rId398" Type="http://schemas.openxmlformats.org/officeDocument/2006/relationships/hyperlink" Target="https://www.base.gov.pt/Base4/pt/detalhe/?type=contratos&amp;id=11948240" TargetMode="External"/><Relationship Id="rId399" Type="http://schemas.openxmlformats.org/officeDocument/2006/relationships/hyperlink" Target="https://www.base.gov.pt/Base4/pt/detalhe/?type=contratos&amp;id=14730900" TargetMode="External"/><Relationship Id="rId400" Type="http://schemas.openxmlformats.org/officeDocument/2006/relationships/hyperlink" Target="https://www.base.gov.pt/Base4/pt/detalhe/?type=contratos&amp;id=11410884" TargetMode="External"/><Relationship Id="rId401" Type="http://schemas.openxmlformats.org/officeDocument/2006/relationships/hyperlink" Target="https://www.base.gov.pt/Base4/pt/detalhe/?type=contratos&amp;id=13334324" TargetMode="External"/><Relationship Id="rId402" Type="http://schemas.openxmlformats.org/officeDocument/2006/relationships/hyperlink" Target="https://www.base.gov.pt/Base4/pt/detalhe/?type=contratos&amp;id=13268477" TargetMode="External"/><Relationship Id="rId403" Type="http://schemas.openxmlformats.org/officeDocument/2006/relationships/hyperlink" Target="https://www.base.gov.pt/Base4/pt/detalhe/?type=contratos&amp;id=11712384" TargetMode="External"/><Relationship Id="rId404" Type="http://schemas.openxmlformats.org/officeDocument/2006/relationships/hyperlink" Target="https://www.base.gov.pt/Base4/pt/detalhe/?type=contratos&amp;id=11712468" TargetMode="External"/><Relationship Id="rId405" Type="http://schemas.openxmlformats.org/officeDocument/2006/relationships/hyperlink" Target="https://www.base.gov.pt/Base4/pt/detalhe/?type=contratos&amp;id=12976907" TargetMode="External"/><Relationship Id="rId406" Type="http://schemas.openxmlformats.org/officeDocument/2006/relationships/hyperlink" Target="https://www.base.gov.pt/Base4/pt/detalhe/?type=contratos&amp;id=11467361" TargetMode="External"/><Relationship Id="rId407" Type="http://schemas.openxmlformats.org/officeDocument/2006/relationships/hyperlink" Target="https://www.base.gov.pt/Base4/pt/detalhe/?type=contratos&amp;id=15550361" TargetMode="External"/><Relationship Id="rId408" Type="http://schemas.openxmlformats.org/officeDocument/2006/relationships/hyperlink" Target="https://www.base.gov.pt/Base4/pt/detalhe/?type=contratos&amp;id=15442332" TargetMode="External"/><Relationship Id="rId409" Type="http://schemas.openxmlformats.org/officeDocument/2006/relationships/hyperlink" Target="https://www.base.gov.pt/Base4/pt/detalhe/?type=contratos&amp;id=15425834" TargetMode="External"/><Relationship Id="rId410" Type="http://schemas.openxmlformats.org/officeDocument/2006/relationships/hyperlink" Target="https://www.base.gov.pt/Base4/pt/detalhe/?type=contratos&amp;id=11444384" TargetMode="External"/><Relationship Id="rId411" Type="http://schemas.openxmlformats.org/officeDocument/2006/relationships/hyperlink" Target="https://www.base.gov.pt/Base4/pt/detalhe/?type=contratos&amp;id=11444662" TargetMode="External"/><Relationship Id="rId412" Type="http://schemas.openxmlformats.org/officeDocument/2006/relationships/hyperlink" Target="https://www.base.gov.pt/Base4/pt/detalhe/?type=contratos&amp;id=15253208" TargetMode="External"/><Relationship Id="rId413" Type="http://schemas.openxmlformats.org/officeDocument/2006/relationships/hyperlink" Target="https://www.base.gov.pt/Base4/pt/detalhe/?type=contratos&amp;id=11559586" TargetMode="External"/><Relationship Id="rId414" Type="http://schemas.openxmlformats.org/officeDocument/2006/relationships/hyperlink" Target="https://www.base.gov.pt/Base4/pt/detalhe/?type=contratos&amp;id=15610880" TargetMode="External"/><Relationship Id="rId415" Type="http://schemas.openxmlformats.org/officeDocument/2006/relationships/hyperlink" Target="https://www.base.gov.pt/Base4/pt/detalhe/?type=contratos&amp;id=15305668" TargetMode="External"/><Relationship Id="rId416" Type="http://schemas.openxmlformats.org/officeDocument/2006/relationships/hyperlink" Target="https://www.base.gov.pt/Base4/pt/detalhe/?type=contratos&amp;id=11477180" TargetMode="External"/><Relationship Id="rId417" Type="http://schemas.openxmlformats.org/officeDocument/2006/relationships/hyperlink" Target="https://www.base.gov.pt/Base4/pt/detalhe/?type=contratos&amp;id=15261261" TargetMode="External"/><Relationship Id="rId418" Type="http://schemas.openxmlformats.org/officeDocument/2006/relationships/hyperlink" Target="https://www.base.gov.pt/Base4/pt/detalhe/?type=contratos&amp;id=12198698" TargetMode="External"/><Relationship Id="rId419" Type="http://schemas.openxmlformats.org/officeDocument/2006/relationships/hyperlink" Target="https://www.base.gov.pt/Base4/pt/detalhe/?type=contratos&amp;id=12194556" TargetMode="External"/><Relationship Id="rId420" Type="http://schemas.openxmlformats.org/officeDocument/2006/relationships/hyperlink" Target="https://www.base.gov.pt/Base4/pt/detalhe/?type=contratos&amp;id=15239394" TargetMode="External"/><Relationship Id="rId421" Type="http://schemas.openxmlformats.org/officeDocument/2006/relationships/hyperlink" Target="https://www.base.gov.pt/Base4/pt/detalhe/?type=contratos&amp;id=14720808" TargetMode="External"/><Relationship Id="rId422" Type="http://schemas.openxmlformats.org/officeDocument/2006/relationships/hyperlink" Target="https://www.base.gov.pt/Base4/pt/detalhe/?type=contratos&amp;id=14720849" TargetMode="External"/><Relationship Id="rId423" Type="http://schemas.openxmlformats.org/officeDocument/2006/relationships/hyperlink" Target="https://www.base.gov.pt/Base4/pt/detalhe/?type=contratos&amp;id=15227972" TargetMode="External"/><Relationship Id="rId424" Type="http://schemas.openxmlformats.org/officeDocument/2006/relationships/hyperlink" Target="https://www.base.gov.pt/Base4/pt/detalhe/?type=contratos&amp;id=11945752" TargetMode="External"/><Relationship Id="rId425" Type="http://schemas.openxmlformats.org/officeDocument/2006/relationships/hyperlink" Target="https://www.base.gov.pt/Base4/pt/detalhe/?type=contratos&amp;id=11514458" TargetMode="External"/><Relationship Id="rId426" Type="http://schemas.openxmlformats.org/officeDocument/2006/relationships/hyperlink" Target="https://www.base.gov.pt/Base4/pt/detalhe/?type=contratos&amp;id=14087265" TargetMode="External"/><Relationship Id="rId427" Type="http://schemas.openxmlformats.org/officeDocument/2006/relationships/hyperlink" Target="https://www.base.gov.pt/Base4/pt/detalhe/?type=contratos&amp;id=14087814" TargetMode="External"/><Relationship Id="rId428" Type="http://schemas.openxmlformats.org/officeDocument/2006/relationships/hyperlink" Target="https://www.base.gov.pt/Base4/pt/detalhe/?type=contratos&amp;id=12104939" TargetMode="External"/><Relationship Id="rId429" Type="http://schemas.openxmlformats.org/officeDocument/2006/relationships/hyperlink" Target="https://www.base.gov.pt/Base4/pt/detalhe/?type=contratos&amp;id=11515436" TargetMode="External"/><Relationship Id="rId430" Type="http://schemas.openxmlformats.org/officeDocument/2006/relationships/hyperlink" Target="https://www.base.gov.pt/Base4/pt/detalhe/?type=contratos&amp;id=13304877" TargetMode="External"/><Relationship Id="rId431" Type="http://schemas.openxmlformats.org/officeDocument/2006/relationships/hyperlink" Target="https://www.base.gov.pt/Base4/pt/detalhe/?type=contratos&amp;id=12198953" TargetMode="External"/><Relationship Id="rId432" Type="http://schemas.openxmlformats.org/officeDocument/2006/relationships/hyperlink" Target="https://www.base.gov.pt/Base4/pt/detalhe/?type=contratos&amp;id=11581448" TargetMode="External"/><Relationship Id="rId433" Type="http://schemas.openxmlformats.org/officeDocument/2006/relationships/hyperlink" Target="https://www.base.gov.pt/Base4/pt/detalhe/?type=contratos&amp;id=11481890" TargetMode="External"/><Relationship Id="rId434" Type="http://schemas.openxmlformats.org/officeDocument/2006/relationships/hyperlink" Target="https://www.base.gov.pt/Base4/pt/detalhe/?type=contratos&amp;id=12129348" TargetMode="External"/><Relationship Id="rId435" Type="http://schemas.openxmlformats.org/officeDocument/2006/relationships/hyperlink" Target="https://www.base.gov.pt/Base4/pt/detalhe/?type=contratos&amp;id=12125949" TargetMode="External"/><Relationship Id="rId436" Type="http://schemas.openxmlformats.org/officeDocument/2006/relationships/hyperlink" Target="https://www.base.gov.pt/Base4/pt/detalhe/?type=contratos&amp;id=12126230" TargetMode="External"/><Relationship Id="rId437" Type="http://schemas.openxmlformats.org/officeDocument/2006/relationships/hyperlink" Target="https://www.base.gov.pt/Base4/pt/detalhe/?type=contratos&amp;id=11999038" TargetMode="External"/><Relationship Id="rId438" Type="http://schemas.openxmlformats.org/officeDocument/2006/relationships/hyperlink" Target="https://www.base.gov.pt/Base4/pt/detalhe/?type=contratos&amp;id=11999041" TargetMode="External"/><Relationship Id="rId439" Type="http://schemas.openxmlformats.org/officeDocument/2006/relationships/hyperlink" Target="https://www.base.gov.pt/Base4/pt/detalhe/?type=contratos&amp;id=11736311" TargetMode="External"/><Relationship Id="rId440" Type="http://schemas.openxmlformats.org/officeDocument/2006/relationships/hyperlink" Target="https://www.base.gov.pt/Base4/pt/detalhe/?type=contratos&amp;id=11980681" TargetMode="External"/><Relationship Id="rId441" Type="http://schemas.openxmlformats.org/officeDocument/2006/relationships/hyperlink" Target="https://www.base.gov.pt/Base4/pt/detalhe/?type=contratos&amp;id=11955218" TargetMode="External"/><Relationship Id="rId442" Type="http://schemas.openxmlformats.org/officeDocument/2006/relationships/hyperlink" Target="https://www.base.gov.pt/Base4/pt/detalhe/?type=contratos&amp;id=15726735" TargetMode="External"/><Relationship Id="rId443" Type="http://schemas.openxmlformats.org/officeDocument/2006/relationships/hyperlink" Target="https://www.base.gov.pt/Base4/pt/detalhe/?type=contratos&amp;id=11789834" TargetMode="External"/><Relationship Id="rId444" Type="http://schemas.openxmlformats.org/officeDocument/2006/relationships/hyperlink" Target="https://www.base.gov.pt/Base4/pt/detalhe/?type=contratos&amp;id=15616532" TargetMode="External"/><Relationship Id="rId445" Type="http://schemas.openxmlformats.org/officeDocument/2006/relationships/hyperlink" Target="https://www.base.gov.pt/Base4/pt/detalhe/?type=contratos&amp;id=15511677" TargetMode="External"/><Relationship Id="rId446" Type="http://schemas.openxmlformats.org/officeDocument/2006/relationships/hyperlink" Target="https://www.base.gov.pt/Base4/pt/detalhe/?type=contratos&amp;id=15489413" TargetMode="External"/><Relationship Id="rId447" Type="http://schemas.openxmlformats.org/officeDocument/2006/relationships/hyperlink" Target="https://www.base.gov.pt/Base4/pt/detalhe/?type=contratos&amp;id=15428191" TargetMode="External"/><Relationship Id="rId448" Type="http://schemas.openxmlformats.org/officeDocument/2006/relationships/hyperlink" Target="https://www.base.gov.pt/Base4/pt/detalhe/?type=contratos&amp;id=15495843" TargetMode="External"/><Relationship Id="rId449" Type="http://schemas.openxmlformats.org/officeDocument/2006/relationships/hyperlink" Target="https://www.base.gov.pt/Base4/pt/detalhe/?type=contratos&amp;id=15470348" TargetMode="External"/><Relationship Id="rId450" Type="http://schemas.openxmlformats.org/officeDocument/2006/relationships/hyperlink" Target="https://www.base.gov.pt/Base4/pt/detalhe/?type=contratos&amp;id=13714073" TargetMode="External"/><Relationship Id="rId451" Type="http://schemas.openxmlformats.org/officeDocument/2006/relationships/hyperlink" Target="https://www.base.gov.pt/Base4/pt/detalhe/?type=contratos&amp;id=11771028" TargetMode="External"/><Relationship Id="rId452" Type="http://schemas.openxmlformats.org/officeDocument/2006/relationships/hyperlink" Target="https://www.base.gov.pt/Base4/pt/detalhe/?type=contratos&amp;id=13674478" TargetMode="External"/><Relationship Id="rId453" Type="http://schemas.openxmlformats.org/officeDocument/2006/relationships/hyperlink" Target="https://www.base.gov.pt/Base4/pt/detalhe/?type=contratos&amp;id=11678829" TargetMode="External"/><Relationship Id="rId454" Type="http://schemas.openxmlformats.org/officeDocument/2006/relationships/hyperlink" Target="https://www.base.gov.pt/Base4/pt/detalhe/?type=contratos&amp;id=13178965" TargetMode="External"/><Relationship Id="rId455" Type="http://schemas.openxmlformats.org/officeDocument/2006/relationships/hyperlink" Target="https://www.base.gov.pt/Base4/pt/detalhe/?type=contratos&amp;id=13160038" TargetMode="External"/><Relationship Id="rId456" Type="http://schemas.openxmlformats.org/officeDocument/2006/relationships/hyperlink" Target="https://www.base.gov.pt/Base4/pt/detalhe/?type=contratos&amp;id=11795044" TargetMode="External"/><Relationship Id="rId457" Type="http://schemas.openxmlformats.org/officeDocument/2006/relationships/hyperlink" Target="https://www.base.gov.pt/Base4/pt/detalhe/?type=contratos&amp;id=11653595" TargetMode="External"/><Relationship Id="rId458" Type="http://schemas.openxmlformats.org/officeDocument/2006/relationships/hyperlink" Target="https://www.base.gov.pt/Base4/pt/detalhe/?type=contratos&amp;id=12940580" TargetMode="External"/><Relationship Id="rId459" Type="http://schemas.openxmlformats.org/officeDocument/2006/relationships/hyperlink" Target="https://www.base.gov.pt/Base4/pt/detalhe/?type=contratos&amp;id=12955343" TargetMode="External"/><Relationship Id="rId460" Type="http://schemas.openxmlformats.org/officeDocument/2006/relationships/hyperlink" Target="https://www.base.gov.pt/Base4/pt/detalhe/?type=contratos&amp;id=14953845" TargetMode="External"/><Relationship Id="rId461" Type="http://schemas.openxmlformats.org/officeDocument/2006/relationships/hyperlink" Target="https://www.base.gov.pt/Base4/pt/detalhe/?type=contratos&amp;id=14954415" TargetMode="External"/><Relationship Id="rId462" Type="http://schemas.openxmlformats.org/officeDocument/2006/relationships/hyperlink" Target="https://www.base.gov.pt/Base4/pt/detalhe/?type=contratos&amp;id=12182359" TargetMode="External"/><Relationship Id="rId463" Type="http://schemas.openxmlformats.org/officeDocument/2006/relationships/hyperlink" Target="https://www.base.gov.pt/Base4/pt/detalhe/?type=contratos&amp;id=11718502" TargetMode="External"/><Relationship Id="rId464" Type="http://schemas.openxmlformats.org/officeDocument/2006/relationships/hyperlink" Target="https://www.base.gov.pt/Base4/pt/detalhe/?type=contratos&amp;id=11635017" TargetMode="External"/><Relationship Id="rId465" Type="http://schemas.openxmlformats.org/officeDocument/2006/relationships/hyperlink" Target="https://www.base.gov.pt/Base4/pt/detalhe/?type=contratos&amp;id=15677206" TargetMode="External"/><Relationship Id="rId466" Type="http://schemas.openxmlformats.org/officeDocument/2006/relationships/hyperlink" Target="https://www.base.gov.pt/Base4/pt/detalhe/?type=contratos&amp;id=11677571" TargetMode="External"/><Relationship Id="rId467" Type="http://schemas.openxmlformats.org/officeDocument/2006/relationships/hyperlink" Target="https://www.base.gov.pt/Base4/pt/detalhe/?type=contratos&amp;id=11677582" TargetMode="External"/><Relationship Id="rId468" Type="http://schemas.openxmlformats.org/officeDocument/2006/relationships/hyperlink" Target="https://www.base.gov.pt/Base4/pt/detalhe/?type=contratos&amp;id=11441750" TargetMode="External"/><Relationship Id="rId469" Type="http://schemas.openxmlformats.org/officeDocument/2006/relationships/hyperlink" Target="https://www.base.gov.pt/Base4/pt/detalhe/?type=contratos&amp;id=15084106" TargetMode="External"/><Relationship Id="rId470" Type="http://schemas.openxmlformats.org/officeDocument/2006/relationships/hyperlink" Target="https://www.base.gov.pt/Base4/pt/detalhe/?type=contratos&amp;id=11490246" TargetMode="External"/><Relationship Id="rId471" Type="http://schemas.openxmlformats.org/officeDocument/2006/relationships/hyperlink" Target="https://www.base.gov.pt/Base4/pt/detalhe/?type=contratos&amp;id=14798368" TargetMode="External"/><Relationship Id="rId472" Type="http://schemas.openxmlformats.org/officeDocument/2006/relationships/hyperlink" Target="https://www.base.gov.pt/Base4/pt/detalhe/?type=contratos&amp;id=12523489" TargetMode="External"/><Relationship Id="rId473" Type="http://schemas.openxmlformats.org/officeDocument/2006/relationships/hyperlink" Target="https://www.base.gov.pt/Base4/pt/detalhe/?type=contratos&amp;id=14106410" TargetMode="External"/><Relationship Id="rId474" Type="http://schemas.openxmlformats.org/officeDocument/2006/relationships/hyperlink" Target="https://www.base.gov.pt/Base4/pt/detalhe/?type=contratos&amp;id=12019837" TargetMode="External"/><Relationship Id="rId475" Type="http://schemas.openxmlformats.org/officeDocument/2006/relationships/hyperlink" Target="https://www.base.gov.pt/Base4/pt/detalhe/?type=contratos&amp;id=11754767" TargetMode="External"/><Relationship Id="rId476" Type="http://schemas.openxmlformats.org/officeDocument/2006/relationships/hyperlink" Target="https://www.base.gov.pt/Base4/pt/detalhe/?type=contratos&amp;id=11528238" TargetMode="External"/><Relationship Id="rId477" Type="http://schemas.openxmlformats.org/officeDocument/2006/relationships/hyperlink" Target="https://www.base.gov.pt/Base4/pt/detalhe/?type=contratos&amp;id=11748469" TargetMode="External"/><Relationship Id="rId478" Type="http://schemas.openxmlformats.org/officeDocument/2006/relationships/hyperlink" Target="https://www.base.gov.pt/Base4/pt/detalhe/?type=contratos&amp;id=11632438" TargetMode="External"/><Relationship Id="rId479" Type="http://schemas.openxmlformats.org/officeDocument/2006/relationships/hyperlink" Target="https://www.base.gov.pt/Base4/pt/detalhe/?type=contratos&amp;id=11637432" TargetMode="External"/><Relationship Id="rId480" Type="http://schemas.openxmlformats.org/officeDocument/2006/relationships/hyperlink" Target="https://www.base.gov.pt/Base4/pt/detalhe/?type=contratos&amp;id=11587420" TargetMode="External"/><Relationship Id="rId481" Type="http://schemas.openxmlformats.org/officeDocument/2006/relationships/hyperlink" Target="https://www.base.gov.pt/Base4/pt/detalhe/?type=contratos&amp;id=11349634" TargetMode="External"/><Relationship Id="rId482" Type="http://schemas.openxmlformats.org/officeDocument/2006/relationships/hyperlink" Target="https://www.base.gov.pt/Base4/pt/detalhe/?type=contratos&amp;id=15724978" TargetMode="External"/><Relationship Id="rId483" Type="http://schemas.openxmlformats.org/officeDocument/2006/relationships/hyperlink" Target="https://www.base.gov.pt/Base4/pt/detalhe/?type=contratos&amp;id=15496620" TargetMode="External"/><Relationship Id="rId484" Type="http://schemas.openxmlformats.org/officeDocument/2006/relationships/hyperlink" Target="https://www.base.gov.pt/Base4/pt/detalhe/?type=contratos&amp;id=15185754" TargetMode="External"/><Relationship Id="rId485" Type="http://schemas.openxmlformats.org/officeDocument/2006/relationships/hyperlink" Target="https://www.base.gov.pt/Base4/pt/detalhe/?type=contratos&amp;id=15074282" TargetMode="External"/><Relationship Id="rId486" Type="http://schemas.openxmlformats.org/officeDocument/2006/relationships/hyperlink" Target="https://www.base.gov.pt/Base4/pt/detalhe/?type=contratos&amp;id=14933253" TargetMode="External"/><Relationship Id="rId487" Type="http://schemas.openxmlformats.org/officeDocument/2006/relationships/hyperlink" Target="https://www.base.gov.pt/Base4/pt/detalhe/?type=contratos&amp;id=14851918" TargetMode="External"/><Relationship Id="rId488" Type="http://schemas.openxmlformats.org/officeDocument/2006/relationships/hyperlink" Target="https://www.base.gov.pt/Base4/pt/detalhe/?type=contratos&amp;id=14412100" TargetMode="External"/><Relationship Id="rId489" Type="http://schemas.openxmlformats.org/officeDocument/2006/relationships/hyperlink" Target="https://www.base.gov.pt/Base4/pt/detalhe/?type=contratos&amp;id=14308534" TargetMode="External"/><Relationship Id="rId490" Type="http://schemas.openxmlformats.org/officeDocument/2006/relationships/hyperlink" Target="https://www.base.gov.pt/Base4/pt/detalhe/?type=contratos&amp;id=14026093" TargetMode="External"/><Relationship Id="rId491" Type="http://schemas.openxmlformats.org/officeDocument/2006/relationships/hyperlink" Target="https://www.base.gov.pt/Base4/pt/detalhe/?type=contratos&amp;id=13730750" TargetMode="External"/><Relationship Id="rId492" Type="http://schemas.openxmlformats.org/officeDocument/2006/relationships/hyperlink" Target="https://www.base.gov.pt/Base4/pt/detalhe/?type=contratos&amp;id=12173959" TargetMode="External"/><Relationship Id="rId493" Type="http://schemas.openxmlformats.org/officeDocument/2006/relationships/hyperlink" Target="https://www.base.gov.pt/Base4/pt/detalhe/?type=contratos&amp;id=11950322" TargetMode="External"/><Relationship Id="rId494" Type="http://schemas.openxmlformats.org/officeDocument/2006/relationships/hyperlink" Target="https://www.base.gov.pt/Base4/pt/detalhe/?type=contratos&amp;id=11951127" TargetMode="External"/><Relationship Id="rId495" Type="http://schemas.openxmlformats.org/officeDocument/2006/relationships/hyperlink" Target="https://www.base.gov.pt/Base4/pt/detalhe/?type=contratos&amp;id=11951191" TargetMode="External"/><Relationship Id="rId496" Type="http://schemas.openxmlformats.org/officeDocument/2006/relationships/hyperlink" Target="https://www.base.gov.pt/Base4/pt/detalhe/?type=contratos&amp;id=11951270" TargetMode="External"/><Relationship Id="rId497" Type="http://schemas.openxmlformats.org/officeDocument/2006/relationships/hyperlink" Target="https://www.base.gov.pt/Base4/pt/detalhe/?type=contratos&amp;id=11370749" TargetMode="External"/><Relationship Id="rId498" Type="http://schemas.openxmlformats.org/officeDocument/2006/relationships/hyperlink" Target="https://www.base.gov.pt/Base4/pt/detalhe/?type=contratos&amp;id=11370778" TargetMode="External"/><Relationship Id="rId499" Type="http://schemas.openxmlformats.org/officeDocument/2006/relationships/hyperlink" Target="https://www.base.gov.pt/Base4/pt/detalhe/?type=contratos&amp;id=15625476" TargetMode="External"/><Relationship Id="rId500" Type="http://schemas.openxmlformats.org/officeDocument/2006/relationships/hyperlink" Target="https://www.base.gov.pt/Base4/pt/detalhe/?type=contratos&amp;id=11406682" TargetMode="External"/><Relationship Id="rId501" Type="http://schemas.openxmlformats.org/officeDocument/2006/relationships/hyperlink" Target="https://www.base.gov.pt/Base4/pt/detalhe/?type=contratos&amp;id=11899213" TargetMode="External"/><Relationship Id="rId502" Type="http://schemas.openxmlformats.org/officeDocument/2006/relationships/hyperlink" Target="https://www.base.gov.pt/Base4/pt/detalhe/?type=contratos&amp;id=11585159" TargetMode="External"/><Relationship Id="rId503" Type="http://schemas.openxmlformats.org/officeDocument/2006/relationships/hyperlink" Target="https://www.base.gov.pt/Base4/pt/detalhe/?type=contratos&amp;id=11900409" TargetMode="External"/><Relationship Id="rId504" Type="http://schemas.openxmlformats.org/officeDocument/2006/relationships/hyperlink" Target="https://www.base.gov.pt/Base4/pt/detalhe/?type=contratos&amp;id=11728773" TargetMode="External"/><Relationship Id="rId505" Type="http://schemas.openxmlformats.org/officeDocument/2006/relationships/hyperlink" Target="https://www.base.gov.pt/Base4/pt/detalhe/?type=contratos&amp;id=11584705" TargetMode="External"/><Relationship Id="rId506" Type="http://schemas.openxmlformats.org/officeDocument/2006/relationships/hyperlink" Target="https://www.base.gov.pt/Base4/pt/detalhe/?type=contratos&amp;id=11513085" TargetMode="External"/><Relationship Id="rId507" Type="http://schemas.openxmlformats.org/officeDocument/2006/relationships/hyperlink" Target="https://www.base.gov.pt/Base4/pt/detalhe/?type=contratos&amp;id=15725370" TargetMode="External"/><Relationship Id="rId508" Type="http://schemas.openxmlformats.org/officeDocument/2006/relationships/hyperlink" Target="https://www.base.gov.pt/Base4/pt/detalhe/?type=contratos&amp;id=15726196" TargetMode="External"/><Relationship Id="rId509" Type="http://schemas.openxmlformats.org/officeDocument/2006/relationships/hyperlink" Target="https://www.base.gov.pt/Base4/pt/detalhe/?type=contratos&amp;id=15603880" TargetMode="External"/><Relationship Id="rId510" Type="http://schemas.openxmlformats.org/officeDocument/2006/relationships/hyperlink" Target="https://www.base.gov.pt/Base4/pt/detalhe/?type=contratos&amp;id=15482094" TargetMode="External"/><Relationship Id="rId511" Type="http://schemas.openxmlformats.org/officeDocument/2006/relationships/hyperlink" Target="https://www.base.gov.pt/Base4/pt/detalhe/?type=contratos&amp;id=15473628" TargetMode="External"/><Relationship Id="rId512" Type="http://schemas.openxmlformats.org/officeDocument/2006/relationships/hyperlink" Target="https://www.base.gov.pt/Base4/pt/detalhe/?type=contratos&amp;id=15369689" TargetMode="External"/><Relationship Id="rId513" Type="http://schemas.openxmlformats.org/officeDocument/2006/relationships/hyperlink" Target="https://www.base.gov.pt/Base4/pt/detalhe/?type=contratos&amp;id=15281207" TargetMode="External"/><Relationship Id="rId514" Type="http://schemas.openxmlformats.org/officeDocument/2006/relationships/hyperlink" Target="https://www.base.gov.pt/Base4/pt/detalhe/?type=contratos&amp;id=15162378" TargetMode="External"/><Relationship Id="rId515" Type="http://schemas.openxmlformats.org/officeDocument/2006/relationships/hyperlink" Target="https://www.base.gov.pt/Base4/pt/detalhe/?type=contratos&amp;id=15028860" TargetMode="External"/><Relationship Id="rId516" Type="http://schemas.openxmlformats.org/officeDocument/2006/relationships/hyperlink" Target="https://www.base.gov.pt/Base4/pt/detalhe/?type=contratos&amp;id=14943028" TargetMode="External"/><Relationship Id="rId517" Type="http://schemas.openxmlformats.org/officeDocument/2006/relationships/hyperlink" Target="https://www.base.gov.pt/Base4/pt/detalhe/?type=contratos&amp;id=14896673" TargetMode="External"/><Relationship Id="rId518" Type="http://schemas.openxmlformats.org/officeDocument/2006/relationships/hyperlink" Target="https://www.base.gov.pt/Base4/pt/detalhe/?type=contratos&amp;id=14776427" TargetMode="External"/><Relationship Id="rId519" Type="http://schemas.openxmlformats.org/officeDocument/2006/relationships/hyperlink" Target="https://www.base.gov.pt/Base4/pt/detalhe/?type=contratos&amp;id=14690429" TargetMode="External"/><Relationship Id="rId520" Type="http://schemas.openxmlformats.org/officeDocument/2006/relationships/hyperlink" Target="https://www.base.gov.pt/Base4/pt/detalhe/?type=contratos&amp;id=14437728" TargetMode="External"/><Relationship Id="rId521" Type="http://schemas.openxmlformats.org/officeDocument/2006/relationships/hyperlink" Target="https://www.base.gov.pt/Base4/pt/detalhe/?type=contratos&amp;id=13870480" TargetMode="External"/><Relationship Id="rId522" Type="http://schemas.openxmlformats.org/officeDocument/2006/relationships/hyperlink" Target="https://www.base.gov.pt/Base4/pt/detalhe/?type=contratos&amp;id=13905347" TargetMode="External"/><Relationship Id="rId523" Type="http://schemas.openxmlformats.org/officeDocument/2006/relationships/hyperlink" Target="https://www.base.gov.pt/Base4/pt/detalhe/?type=contratos&amp;id=13548121" TargetMode="External"/><Relationship Id="rId524" Type="http://schemas.openxmlformats.org/officeDocument/2006/relationships/hyperlink" Target="https://www.base.gov.pt/Base4/pt/detalhe/?type=contratos&amp;id=13258488" TargetMode="External"/><Relationship Id="rId525" Type="http://schemas.openxmlformats.org/officeDocument/2006/relationships/hyperlink" Target="https://www.base.gov.pt/Base4/pt/detalhe/?type=contratos&amp;id=13201621" TargetMode="External"/><Relationship Id="rId526" Type="http://schemas.openxmlformats.org/officeDocument/2006/relationships/hyperlink" Target="https://www.base.gov.pt/Base4/pt/detalhe/?type=contratos&amp;id=13100624" TargetMode="External"/><Relationship Id="rId527" Type="http://schemas.openxmlformats.org/officeDocument/2006/relationships/hyperlink" Target="https://www.base.gov.pt/Base4/pt/detalhe/?type=contratos&amp;id=12322523" TargetMode="External"/><Relationship Id="rId528" Type="http://schemas.openxmlformats.org/officeDocument/2006/relationships/hyperlink" Target="https://www.base.gov.pt/Base4/pt/detalhe/?type=contratos&amp;id=12012786" TargetMode="External"/><Relationship Id="rId529" Type="http://schemas.openxmlformats.org/officeDocument/2006/relationships/hyperlink" Target="https://www.base.gov.pt/Base4/pt/detalhe/?type=contratos&amp;id=11948744" TargetMode="External"/><Relationship Id="rId530" Type="http://schemas.openxmlformats.org/officeDocument/2006/relationships/hyperlink" Target="https://www.base.gov.pt/Base4/pt/detalhe/?type=contratos&amp;id=11948233" TargetMode="External"/><Relationship Id="rId531" Type="http://schemas.openxmlformats.org/officeDocument/2006/relationships/hyperlink" Target="https://www.base.gov.pt/Base4/pt/detalhe/?type=contratos&amp;id=11868728" TargetMode="External"/><Relationship Id="rId532" Type="http://schemas.openxmlformats.org/officeDocument/2006/relationships/hyperlink" Target="https://www.base.gov.pt/Base4/pt/detalhe/?type=contratos&amp;id=11786877" TargetMode="External"/><Relationship Id="rId533" Type="http://schemas.openxmlformats.org/officeDocument/2006/relationships/hyperlink" Target="https://www.base.gov.pt/Base4/pt/detalhe/?type=contratos&amp;id=11778963" TargetMode="External"/><Relationship Id="rId534" Type="http://schemas.openxmlformats.org/officeDocument/2006/relationships/hyperlink" Target="https://www.base.gov.pt/Base4/pt/detalhe/?type=contratos&amp;id=11770384" TargetMode="External"/><Relationship Id="rId535" Type="http://schemas.openxmlformats.org/officeDocument/2006/relationships/hyperlink" Target="https://www.base.gov.pt/Base4/pt/detalhe/?type=contratos&amp;id=11716312" TargetMode="External"/><Relationship Id="rId536" Type="http://schemas.openxmlformats.org/officeDocument/2006/relationships/hyperlink" Target="https://www.base.gov.pt/Base4/pt/detalhe/?type=contratos&amp;id=11623120" TargetMode="External"/><Relationship Id="rId537" Type="http://schemas.openxmlformats.org/officeDocument/2006/relationships/hyperlink" Target="https://www.base.gov.pt/Base4/pt/detalhe/?type=contratos&amp;id=11537532" TargetMode="External"/><Relationship Id="rId538" Type="http://schemas.openxmlformats.org/officeDocument/2006/relationships/hyperlink" Target="https://www.base.gov.pt/Base4/pt/detalhe/?type=contratos&amp;id=15656993" TargetMode="External"/><Relationship Id="rId539" Type="http://schemas.openxmlformats.org/officeDocument/2006/relationships/hyperlink" Target="https://www.base.gov.pt/Base4/pt/detalhe/?type=contratos&amp;id=15566175" TargetMode="External"/><Relationship Id="rId540" Type="http://schemas.openxmlformats.org/officeDocument/2006/relationships/hyperlink" Target="https://www.base.gov.pt/Base4/pt/detalhe/?type=contratos&amp;id=15565282" TargetMode="External"/><Relationship Id="rId541" Type="http://schemas.openxmlformats.org/officeDocument/2006/relationships/hyperlink" Target="https://www.base.gov.pt/Base4/pt/detalhe/?type=contratos&amp;id=15493934" TargetMode="External"/><Relationship Id="rId542" Type="http://schemas.openxmlformats.org/officeDocument/2006/relationships/hyperlink" Target="https://www.base.gov.pt/Base4/pt/detalhe/?type=contratos&amp;id=15368385" TargetMode="External"/><Relationship Id="rId543" Type="http://schemas.openxmlformats.org/officeDocument/2006/relationships/hyperlink" Target="https://www.base.gov.pt/Base4/pt/detalhe/?type=contratos&amp;id=15309238" TargetMode="External"/><Relationship Id="rId544" Type="http://schemas.openxmlformats.org/officeDocument/2006/relationships/hyperlink" Target="https://www.base.gov.pt/Base4/pt/detalhe/?type=contratos&amp;id=15281289" TargetMode="External"/><Relationship Id="rId545" Type="http://schemas.openxmlformats.org/officeDocument/2006/relationships/hyperlink" Target="https://www.base.gov.pt/Base4/pt/detalhe/?type=contratos&amp;id=15282231" TargetMode="External"/><Relationship Id="rId546" Type="http://schemas.openxmlformats.org/officeDocument/2006/relationships/hyperlink" Target="https://www.base.gov.pt/Base4/pt/detalhe/?type=contratos&amp;id=15257802" TargetMode="External"/><Relationship Id="rId547" Type="http://schemas.openxmlformats.org/officeDocument/2006/relationships/hyperlink" Target="https://www.base.gov.pt/Base4/pt/detalhe/?type=contratos&amp;id=15232630" TargetMode="External"/><Relationship Id="rId548" Type="http://schemas.openxmlformats.org/officeDocument/2006/relationships/hyperlink" Target="https://www.base.gov.pt/Base4/pt/detalhe/?type=contratos&amp;id=14972432" TargetMode="External"/><Relationship Id="rId549" Type="http://schemas.openxmlformats.org/officeDocument/2006/relationships/hyperlink" Target="https://www.base.gov.pt/Base4/pt/detalhe/?type=contratos&amp;id=14691185" TargetMode="External"/><Relationship Id="rId550" Type="http://schemas.openxmlformats.org/officeDocument/2006/relationships/hyperlink" Target="https://www.base.gov.pt/Base4/pt/detalhe/?type=contratos&amp;id=14512680" TargetMode="External"/><Relationship Id="rId551" Type="http://schemas.openxmlformats.org/officeDocument/2006/relationships/hyperlink" Target="https://www.base.gov.pt/Base4/pt/detalhe/?type=contratos&amp;id=14382742" TargetMode="External"/><Relationship Id="rId552" Type="http://schemas.openxmlformats.org/officeDocument/2006/relationships/hyperlink" Target="https://www.base.gov.pt/Base4/pt/detalhe/?type=contratos&amp;id=14066380" TargetMode="External"/><Relationship Id="rId553" Type="http://schemas.openxmlformats.org/officeDocument/2006/relationships/hyperlink" Target="https://www.base.gov.pt/Base4/pt/detalhe/?type=contratos&amp;id=13431768" TargetMode="External"/><Relationship Id="rId554" Type="http://schemas.openxmlformats.org/officeDocument/2006/relationships/hyperlink" Target="https://www.base.gov.pt/Base4/pt/detalhe/?type=contratos&amp;id=13345665" TargetMode="External"/><Relationship Id="rId555" Type="http://schemas.openxmlformats.org/officeDocument/2006/relationships/hyperlink" Target="https://www.base.gov.pt/Base4/pt/detalhe/?type=contratos&amp;id=12962378" TargetMode="External"/><Relationship Id="rId556" Type="http://schemas.openxmlformats.org/officeDocument/2006/relationships/hyperlink" Target="https://www.base.gov.pt/Base4/pt/detalhe/?type=contratos&amp;id=11944176" TargetMode="External"/><Relationship Id="rId557" Type="http://schemas.openxmlformats.org/officeDocument/2006/relationships/hyperlink" Target="https://www.base.gov.pt/Base4/pt/detalhe/?type=contratos&amp;id=11757206" TargetMode="External"/><Relationship Id="rId558" Type="http://schemas.openxmlformats.org/officeDocument/2006/relationships/hyperlink" Target="https://www.base.gov.pt/Base4/pt/detalhe/?type=contratos&amp;id=11742438" TargetMode="External"/><Relationship Id="rId559" Type="http://schemas.openxmlformats.org/officeDocument/2006/relationships/hyperlink" Target="https://www.base.gov.pt/Base4/pt/detalhe/?type=contratos&amp;id=11742677" TargetMode="External"/><Relationship Id="rId560" Type="http://schemas.openxmlformats.org/officeDocument/2006/relationships/hyperlink" Target="https://www.base.gov.pt/Base4/pt/detalhe/?type=contratos&amp;id=11712784" TargetMode="External"/><Relationship Id="rId561" Type="http://schemas.openxmlformats.org/officeDocument/2006/relationships/hyperlink" Target="https://www.base.gov.pt/Base4/pt/detalhe/?type=contratos&amp;id=11633341" TargetMode="External"/><Relationship Id="rId562" Type="http://schemas.openxmlformats.org/officeDocument/2006/relationships/hyperlink" Target="https://www.base.gov.pt/Base4/pt/detalhe/?type=contratos&amp;id=11617433" TargetMode="External"/><Relationship Id="rId563" Type="http://schemas.openxmlformats.org/officeDocument/2006/relationships/hyperlink" Target="https://www.base.gov.pt/Base4/pt/detalhe/?type=contratos&amp;id=11609680" TargetMode="External"/><Relationship Id="rId564" Type="http://schemas.openxmlformats.org/officeDocument/2006/relationships/hyperlink" Target="https://www.base.gov.pt/Base4/pt/detalhe/?type=contratos&amp;id=11605679" TargetMode="External"/><Relationship Id="rId565" Type="http://schemas.openxmlformats.org/officeDocument/2006/relationships/hyperlink" Target="https://www.base.gov.pt/Base4/pt/detalhe/?type=contratos&amp;id=11593272" TargetMode="External"/><Relationship Id="rId566" Type="http://schemas.openxmlformats.org/officeDocument/2006/relationships/hyperlink" Target="https://www.base.gov.pt/Base4/pt/detalhe/?type=contratos&amp;id=11590517" TargetMode="External"/><Relationship Id="rId567" Type="http://schemas.openxmlformats.org/officeDocument/2006/relationships/hyperlink" Target="https://www.base.gov.pt/Base4/pt/detalhe/?type=contratos&amp;id=11585915" TargetMode="External"/><Relationship Id="rId568" Type="http://schemas.openxmlformats.org/officeDocument/2006/relationships/hyperlink" Target="https://www.base.gov.pt/Base4/pt/detalhe/?type=contratos&amp;id=11585046" TargetMode="External"/><Relationship Id="rId569" Type="http://schemas.openxmlformats.org/officeDocument/2006/relationships/hyperlink" Target="https://www.base.gov.pt/Base4/pt/detalhe/?type=contratos&amp;id=11565173" TargetMode="External"/><Relationship Id="rId570" Type="http://schemas.openxmlformats.org/officeDocument/2006/relationships/hyperlink" Target="https://www.base.gov.pt/Base4/pt/detalhe/?type=contratos&amp;id=11531763" TargetMode="External"/><Relationship Id="rId571" Type="http://schemas.openxmlformats.org/officeDocument/2006/relationships/hyperlink" Target="https://www.base.gov.pt/Base4/pt/detalhe/?type=contratos&amp;id=11459180" TargetMode="External"/><Relationship Id="rId572" Type="http://schemas.openxmlformats.org/officeDocument/2006/relationships/hyperlink" Target="https://www.base.gov.pt/Base4/pt/detalhe/?type=contratos&amp;id=11459191" TargetMode="External"/><Relationship Id="rId573" Type="http://schemas.openxmlformats.org/officeDocument/2006/relationships/hyperlink" Target="https://www.base.gov.pt/Base4/pt/detalhe/?type=contratos&amp;id=11459204" TargetMode="External"/><Relationship Id="rId574" Type="http://schemas.openxmlformats.org/officeDocument/2006/relationships/hyperlink" Target="https://www.base.gov.pt/Base4/pt/detalhe/?type=contratos&amp;id=11523191" TargetMode="External"/><Relationship Id="rId575" Type="http://schemas.openxmlformats.org/officeDocument/2006/relationships/hyperlink" Target="https://www.base.gov.pt/Base4/pt/detalhe/?type=contratos&amp;id=11464932" TargetMode="External"/><Relationship Id="rId576" Type="http://schemas.openxmlformats.org/officeDocument/2006/relationships/hyperlink" Target="https://www.base.gov.pt/Base4/pt/detalhe/?type=contratos&amp;id=11465179" TargetMode="External"/><Relationship Id="rId577" Type="http://schemas.openxmlformats.org/officeDocument/2006/relationships/hyperlink" Target="https://www.base.gov.pt/Base4/pt/detalhe/?type=contratos&amp;id=11465793" TargetMode="External"/><Relationship Id="rId578" Type="http://schemas.openxmlformats.org/officeDocument/2006/relationships/hyperlink" Target="https://www.base.gov.pt/Base4/pt/detalhe/?type=contratos&amp;id=11389971" TargetMode="External"/><Relationship Id="rId579" Type="http://schemas.openxmlformats.org/officeDocument/2006/relationships/hyperlink" Target="https://www.base.gov.pt/Base4/pt/detalhe/?type=contratos&amp;id=11756678" TargetMode="External"/><Relationship Id="rId580" Type="http://schemas.openxmlformats.org/officeDocument/2006/relationships/hyperlink" Target="https://www.base.gov.pt/Base4/pt/detalhe/?type=contratos&amp;id=11744359" TargetMode="External"/><Relationship Id="rId581" Type="http://schemas.openxmlformats.org/officeDocument/2006/relationships/hyperlink" Target="https://www.base.gov.pt/Base4/pt/detalhe/?type=contratos&amp;id=11732149" TargetMode="External"/><Relationship Id="rId582" Type="http://schemas.openxmlformats.org/officeDocument/2006/relationships/hyperlink" Target="https://www.base.gov.pt/Base4/pt/detalhe/?type=contratos&amp;id=11728771" TargetMode="External"/><Relationship Id="rId583" Type="http://schemas.openxmlformats.org/officeDocument/2006/relationships/hyperlink" Target="https://www.base.gov.pt/Base4/pt/detalhe/?type=contratos&amp;id=11700224" TargetMode="External"/><Relationship Id="rId584" Type="http://schemas.openxmlformats.org/officeDocument/2006/relationships/hyperlink" Target="https://www.base.gov.pt/Base4/pt/detalhe/?type=contratos&amp;id=11671370" TargetMode="External"/><Relationship Id="rId585" Type="http://schemas.openxmlformats.org/officeDocument/2006/relationships/hyperlink" Target="https://www.base.gov.pt/Base4/pt/detalhe/?type=contratos&amp;id=11657915" TargetMode="External"/><Relationship Id="rId586" Type="http://schemas.openxmlformats.org/officeDocument/2006/relationships/hyperlink" Target="https://www.base.gov.pt/Base4/pt/detalhe/?type=contratos&amp;id=11640739" TargetMode="External"/><Relationship Id="rId587" Type="http://schemas.openxmlformats.org/officeDocument/2006/relationships/hyperlink" Target="https://www.base.gov.pt/Base4/pt/detalhe/?type=contratos&amp;id=11597675" TargetMode="External"/><Relationship Id="rId588" Type="http://schemas.openxmlformats.org/officeDocument/2006/relationships/hyperlink" Target="https://www.base.gov.pt/Base4/pt/detalhe/?type=contratos&amp;id=11562323" TargetMode="External"/><Relationship Id="rId589" Type="http://schemas.openxmlformats.org/officeDocument/2006/relationships/hyperlink" Target="https://www.base.gov.pt/Base4/pt/detalhe/?type=contratos&amp;id=11486933" TargetMode="External"/><Relationship Id="rId590" Type="http://schemas.openxmlformats.org/officeDocument/2006/relationships/hyperlink" Target="https://www.base.gov.pt/Base4/pt/detalhe/?type=contratos&amp;id=11485532" TargetMode="External"/><Relationship Id="rId591" Type="http://schemas.openxmlformats.org/officeDocument/2006/relationships/hyperlink" Target="https://www.base.gov.pt/Base4/pt/detalhe/?type=contratos&amp;id=11480750" TargetMode="External"/><Relationship Id="rId592" Type="http://schemas.openxmlformats.org/officeDocument/2006/relationships/hyperlink" Target="https://www.base.gov.pt/Base4/pt/detalhe/?type=contratos&amp;id=11477634" TargetMode="External"/><Relationship Id="rId59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f aca="false">COUNTIF(Prospeção!$W$5:$W$230,A4)</f>
        <v>226</v>
      </c>
      <c r="C4" s="4" t="n">
        <f aca="false">SUMIF(Prospeção!$W$5:$W$230,A4,Prospeção!$G$5:$G$230)</f>
        <v>35440858</v>
      </c>
    </row>
    <row r="5" customFormat="false" ht="15" hidden="false" customHeight="false" outlineLevel="0" collapsed="false">
      <c r="A5" s="3" t="s">
        <v>5</v>
      </c>
      <c r="B5" s="3" t="n">
        <f aca="false">COUNTIF(Prospeção!$W$5:$W$230,A5)</f>
        <v>0</v>
      </c>
      <c r="C5" s="4" t="n">
        <f aca="false">SUMIF(Prospeção!$W$5:$W$230,A5,Prospeção!$G$5:$G$230)</f>
        <v>0</v>
      </c>
    </row>
    <row r="6" customFormat="false" ht="15" hidden="false" customHeight="false" outlineLevel="0" collapsed="false">
      <c r="A6" s="3" t="s">
        <v>6</v>
      </c>
      <c r="B6" s="3" t="n">
        <f aca="false">COUNTIF(Prospeção!$W$5:$W$230,A6)</f>
        <v>0</v>
      </c>
      <c r="C6" s="4" t="n">
        <f aca="false">SUMIF(Prospeção!$W$5:$W$230,A6,Prospeção!$G$5:$G$230)</f>
        <v>0</v>
      </c>
    </row>
    <row r="7" customFormat="false" ht="15" hidden="false" customHeight="false" outlineLevel="0" collapsed="false">
      <c r="A7" s="3" t="s">
        <v>7</v>
      </c>
      <c r="B7" s="3" t="n">
        <f aca="false">COUNTIF(Prospeção!$W$5:$W$230,A7)</f>
        <v>0</v>
      </c>
      <c r="C7" s="4" t="n">
        <f aca="false">SUMIF(Prospeção!$W$5:$W$230,A7,Prospeção!$G$5:$G$230)</f>
        <v>0</v>
      </c>
    </row>
    <row r="8" customFormat="false" ht="15" hidden="false" customHeight="false" outlineLevel="0" collapsed="false">
      <c r="A8" s="3" t="s">
        <v>8</v>
      </c>
      <c r="B8" s="3" t="n">
        <f aca="false">COUNTIF(Prospeção!$W$5:$W$230,A8)</f>
        <v>0</v>
      </c>
      <c r="C8" s="4" t="n">
        <f aca="false">SUMIF(Prospeção!$W$5:$W$230,A8,Prospeção!$G$5:$G$230)</f>
        <v>0</v>
      </c>
    </row>
    <row r="9" customFormat="false" ht="15" hidden="false" customHeight="false" outlineLevel="0" collapsed="false">
      <c r="A9" s="3" t="s">
        <v>9</v>
      </c>
      <c r="B9" s="3" t="n">
        <f aca="false">COUNTIF(Prospeção!$W$5:$W$230,A9)</f>
        <v>0</v>
      </c>
      <c r="C9" s="4" t="n">
        <f aca="false">SUMIF(Prospeção!$W$5:$W$230,A9,Prospeção!$G$5:$G$230)</f>
        <v>0</v>
      </c>
    </row>
    <row r="10" customFormat="false" ht="15" hidden="false" customHeight="false" outlineLevel="0" collapsed="false">
      <c r="A10" s="3" t="s">
        <v>10</v>
      </c>
      <c r="B10" s="3" t="n">
        <f aca="false">COUNTIF(Prospeção!$W$5:$W$230,A10)</f>
        <v>0</v>
      </c>
      <c r="C10" s="4" t="n">
        <f aca="false">SUMIF(Prospeção!$W$5:$W$230,A10,Prospeção!$G$5:$G$230)</f>
        <v>0</v>
      </c>
    </row>
    <row r="11" customFormat="false" ht="15" hidden="false" customHeight="false" outlineLevel="0" collapsed="false">
      <c r="A11" s="3" t="s">
        <v>11</v>
      </c>
      <c r="B11" s="3" t="n">
        <f aca="false">COUNTIF(Prospeção!$W$5:$W$230,A11)</f>
        <v>0</v>
      </c>
      <c r="C11" s="4" t="n">
        <f aca="false">SUMIF(Prospeção!$W$5:$W$230,A11,Prospeção!$G$5:$G$230)</f>
        <v>0</v>
      </c>
    </row>
    <row r="12" customFormat="false" ht="15" hidden="false" customHeight="false" outlineLevel="0" collapsed="false">
      <c r="A12" s="3" t="s">
        <v>12</v>
      </c>
      <c r="B12" s="3" t="n">
        <f aca="false">COUNTIF(Prospeção!$W$5:$W$230,A12)</f>
        <v>0</v>
      </c>
      <c r="C12" s="4" t="n">
        <f aca="false">SUMIF(Prospeção!$W$5:$W$230,A12,Prospeção!$G$5:$G$230)</f>
        <v>0</v>
      </c>
    </row>
    <row r="13" customFormat="false" ht="15" hidden="false" customHeight="false" outlineLevel="0" collapsed="false">
      <c r="A13" s="5" t="s">
        <v>13</v>
      </c>
      <c r="B13" s="5" t="n">
        <f aca="false">SUM(B4:B12)</f>
        <v>226</v>
      </c>
      <c r="C13" s="6" t="n">
        <f aca="false">SUM(C4:C12)</f>
        <v>35440858</v>
      </c>
    </row>
    <row r="15" customFormat="false" ht="15" hidden="false" customHeight="false" outlineLevel="0" collapsed="false">
      <c r="A15" s="7" t="s">
        <v>14</v>
      </c>
    </row>
    <row r="16" customFormat="false" ht="31.5" hidden="false" customHeight="true" outlineLevel="0" collapsed="false">
      <c r="A16" s="8" t="s">
        <v>15</v>
      </c>
      <c r="B16" s="8"/>
      <c r="C16" s="8"/>
      <c r="D16" s="8"/>
      <c r="E16" s="8"/>
      <c r="F16" s="8"/>
    </row>
    <row r="17" customFormat="false" ht="31.5" hidden="false" customHeight="true" outlineLevel="0" collapsed="false">
      <c r="A17" s="8" t="s">
        <v>16</v>
      </c>
      <c r="B17" s="8"/>
      <c r="C17" s="8"/>
      <c r="D17" s="8"/>
      <c r="E17" s="8"/>
      <c r="F17" s="8"/>
    </row>
    <row r="18" customFormat="false" ht="31.5" hidden="false" customHeight="true" outlineLevel="0" collapsed="false">
      <c r="A18" s="8" t="s">
        <v>17</v>
      </c>
      <c r="B18" s="8"/>
      <c r="C18" s="8"/>
      <c r="D18" s="8"/>
      <c r="E18" s="8"/>
      <c r="F18" s="8"/>
    </row>
    <row r="19" customFormat="false" ht="31.5" hidden="false" customHeight="true" outlineLevel="0" collapsed="false">
      <c r="A19" s="8" t="s">
        <v>18</v>
      </c>
      <c r="B19" s="8"/>
      <c r="C19" s="8"/>
      <c r="D19" s="8"/>
      <c r="E19" s="8"/>
      <c r="F19" s="8"/>
    </row>
    <row r="20" customFormat="false" ht="31.5" hidden="false" customHeight="true" outlineLevel="0" collapsed="false">
      <c r="A20" s="8" t="s">
        <v>19</v>
      </c>
      <c r="B20" s="8"/>
      <c r="C20" s="8"/>
      <c r="D20" s="8"/>
      <c r="E20" s="8"/>
      <c r="F20" s="8"/>
    </row>
    <row r="21" customFormat="false" ht="31.5" hidden="false" customHeight="true" outlineLevel="0" collapsed="false">
      <c r="A21" s="8" t="s">
        <v>20</v>
      </c>
      <c r="B21" s="8"/>
      <c r="C21" s="8"/>
      <c r="D21" s="8"/>
      <c r="E21" s="8"/>
      <c r="F21" s="8"/>
    </row>
    <row r="22" customFormat="false" ht="31.5" hidden="false" customHeight="true" outlineLevel="0" collapsed="false">
      <c r="A22" s="8" t="s">
        <v>21</v>
      </c>
      <c r="B22" s="8"/>
      <c r="C22" s="8"/>
      <c r="D22" s="8"/>
      <c r="E22" s="8"/>
      <c r="F22" s="8"/>
    </row>
  </sheetData>
  <mergeCells count="7"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3" min="12" style="0" width="9"/>
    <col collapsed="false" customWidth="true" hidden="false" outlineLevel="0" max="14" min="14" style="0" width="7"/>
    <col collapsed="false" customWidth="true" hidden="false" outlineLevel="0" max="17" min="15" style="0" width="8"/>
    <col collapsed="false" customWidth="true" hidden="false" outlineLevel="0" max="18" min="18" style="0" width="48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50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2"/>
    <col collapsed="false" customWidth="true" hidden="false" outlineLevel="0" max="25" min="25" style="0" width="30"/>
    <col collapsed="false" customWidth="true" hidden="false" outlineLevel="0" max="26" min="26" style="0" width="24"/>
    <col collapsed="false" customWidth="true" hidden="false" outlineLevel="0" max="27" min="27" style="0" width="11"/>
    <col collapsed="false" customWidth="true" hidden="false" outlineLevel="0" max="28" min="28" style="0" width="30"/>
  </cols>
  <sheetData>
    <row r="1" customFormat="false" ht="21.75" hidden="false" customHeight="true" outlineLevel="0" collapsed="false">
      <c r="A1" s="1" t="s">
        <v>22</v>
      </c>
    </row>
    <row r="2" customFormat="false" ht="15" hidden="false" customHeight="false" outlineLevel="0" collapsed="false">
      <c r="A2" s="9" t="s">
        <v>23</v>
      </c>
    </row>
    <row r="4" customFormat="false" ht="30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  <c r="M4" s="10" t="s">
        <v>36</v>
      </c>
      <c r="N4" s="10" t="s">
        <v>37</v>
      </c>
      <c r="O4" s="10" t="s">
        <v>38</v>
      </c>
      <c r="P4" s="10" t="s">
        <v>39</v>
      </c>
      <c r="Q4" s="10" t="s">
        <v>40</v>
      </c>
      <c r="R4" s="10" t="s">
        <v>41</v>
      </c>
      <c r="S4" s="10" t="s">
        <v>42</v>
      </c>
      <c r="T4" s="10" t="s">
        <v>43</v>
      </c>
      <c r="U4" s="10" t="s">
        <v>44</v>
      </c>
      <c r="V4" s="10" t="s">
        <v>45</v>
      </c>
      <c r="W4" s="10" t="s">
        <v>1</v>
      </c>
      <c r="X4" s="10" t="s">
        <v>46</v>
      </c>
      <c r="Y4" s="10" t="s">
        <v>47</v>
      </c>
      <c r="Z4" s="10" t="s">
        <v>48</v>
      </c>
      <c r="AA4" s="10" t="s">
        <v>49</v>
      </c>
      <c r="AB4" s="10" t="s">
        <v>50</v>
      </c>
    </row>
    <row r="5" customFormat="false" ht="23.85" hidden="false" customHeight="false" outlineLevel="0" collapsed="false">
      <c r="A5" s="11" t="n">
        <v>1</v>
      </c>
      <c r="B5" s="12" t="s">
        <v>51</v>
      </c>
      <c r="C5" s="11" t="s">
        <v>52</v>
      </c>
      <c r="D5" s="11" t="n">
        <v>69.3</v>
      </c>
      <c r="E5" s="11" t="n">
        <v>88</v>
      </c>
      <c r="F5" s="11" t="n">
        <v>72</v>
      </c>
      <c r="G5" s="13" t="n">
        <v>2615657</v>
      </c>
      <c r="H5" s="11" t="n">
        <v>31</v>
      </c>
      <c r="I5" s="11" t="n">
        <v>28</v>
      </c>
      <c r="J5" s="11" t="n">
        <v>29</v>
      </c>
      <c r="K5" s="11" t="n">
        <v>0</v>
      </c>
      <c r="L5" s="11" t="n">
        <v>1</v>
      </c>
      <c r="M5" s="11" t="n">
        <v>2</v>
      </c>
      <c r="N5" s="11" t="n">
        <v>42</v>
      </c>
      <c r="O5" s="11" t="n">
        <v>31</v>
      </c>
      <c r="P5" s="11" t="n">
        <v>7</v>
      </c>
      <c r="Q5" s="11" t="n">
        <v>8</v>
      </c>
      <c r="R5" s="14" t="s">
        <v>53</v>
      </c>
      <c r="S5" s="15" t="n">
        <v>0.05</v>
      </c>
      <c r="T5" s="11" t="s">
        <v>54</v>
      </c>
      <c r="U5" s="14" t="s">
        <v>55</v>
      </c>
      <c r="V5" s="16" t="s">
        <v>56</v>
      </c>
      <c r="W5" s="17" t="s">
        <v>4</v>
      </c>
      <c r="X5" s="17"/>
      <c r="Y5" s="18"/>
      <c r="Z5" s="18"/>
      <c r="AA5" s="17"/>
      <c r="AB5" s="18"/>
    </row>
    <row r="6" customFormat="false" ht="46.25" hidden="false" customHeight="false" outlineLevel="0" collapsed="false">
      <c r="A6" s="11" t="n">
        <v>2</v>
      </c>
      <c r="B6" s="12" t="s">
        <v>57</v>
      </c>
      <c r="C6" s="11" t="s">
        <v>58</v>
      </c>
      <c r="D6" s="11" t="n">
        <v>62.7</v>
      </c>
      <c r="E6" s="11" t="n">
        <v>90</v>
      </c>
      <c r="F6" s="11" t="n">
        <v>66</v>
      </c>
      <c r="G6" s="13" t="n">
        <v>2003682</v>
      </c>
      <c r="H6" s="11" t="n">
        <v>30</v>
      </c>
      <c r="I6" s="11" t="n">
        <v>19</v>
      </c>
      <c r="J6" s="11" t="n">
        <v>41</v>
      </c>
      <c r="K6" s="11" t="n">
        <v>0</v>
      </c>
      <c r="L6" s="11" t="n">
        <v>1</v>
      </c>
      <c r="M6" s="11" t="n">
        <v>3</v>
      </c>
      <c r="N6" s="11" t="n">
        <v>40</v>
      </c>
      <c r="O6" s="11" t="n">
        <v>40</v>
      </c>
      <c r="P6" s="11" t="n">
        <v>5</v>
      </c>
      <c r="Q6" s="11" t="n">
        <v>5</v>
      </c>
      <c r="R6" s="14" t="s">
        <v>59</v>
      </c>
      <c r="S6" s="15" t="n">
        <v>0.04</v>
      </c>
      <c r="T6" s="11" t="s">
        <v>60</v>
      </c>
      <c r="U6" s="14" t="s">
        <v>61</v>
      </c>
      <c r="V6" s="16" t="s">
        <v>56</v>
      </c>
      <c r="W6" s="17" t="s">
        <v>4</v>
      </c>
      <c r="X6" s="17"/>
      <c r="Y6" s="18"/>
      <c r="Z6" s="18"/>
      <c r="AA6" s="17"/>
      <c r="AB6" s="18"/>
    </row>
    <row r="7" customFormat="false" ht="35.05" hidden="false" customHeight="false" outlineLevel="0" collapsed="false">
      <c r="A7" s="11" t="n">
        <v>3</v>
      </c>
      <c r="B7" s="12" t="s">
        <v>62</v>
      </c>
      <c r="C7" s="11" t="s">
        <v>63</v>
      </c>
      <c r="D7" s="11" t="n">
        <v>54</v>
      </c>
      <c r="E7" s="11" t="n">
        <v>69</v>
      </c>
      <c r="F7" s="11" t="n">
        <v>61</v>
      </c>
      <c r="G7" s="13" t="n">
        <v>1420864</v>
      </c>
      <c r="H7" s="11" t="n">
        <v>11</v>
      </c>
      <c r="I7" s="11" t="n">
        <v>15</v>
      </c>
      <c r="J7" s="11" t="n">
        <v>32</v>
      </c>
      <c r="K7" s="11" t="n">
        <v>0</v>
      </c>
      <c r="L7" s="11" t="n">
        <v>3</v>
      </c>
      <c r="M7" s="11" t="n">
        <v>9</v>
      </c>
      <c r="N7" s="11" t="n">
        <v>34</v>
      </c>
      <c r="O7" s="11" t="n">
        <v>29</v>
      </c>
      <c r="P7" s="11" t="n">
        <v>4</v>
      </c>
      <c r="Q7" s="11" t="n">
        <v>2</v>
      </c>
      <c r="R7" s="14" t="s">
        <v>64</v>
      </c>
      <c r="S7" s="15" t="n">
        <v>0.07</v>
      </c>
      <c r="T7" s="11" t="s">
        <v>65</v>
      </c>
      <c r="U7" s="14" t="s">
        <v>66</v>
      </c>
      <c r="V7" s="16" t="s">
        <v>56</v>
      </c>
      <c r="W7" s="17" t="s">
        <v>4</v>
      </c>
      <c r="X7" s="17"/>
      <c r="Y7" s="18"/>
      <c r="Z7" s="18"/>
      <c r="AA7" s="17"/>
      <c r="AB7" s="18"/>
    </row>
    <row r="8" customFormat="false" ht="35.05" hidden="false" customHeight="false" outlineLevel="0" collapsed="false">
      <c r="A8" s="11" t="n">
        <v>4</v>
      </c>
      <c r="B8" s="12" t="s">
        <v>67</v>
      </c>
      <c r="C8" s="11" t="s">
        <v>68</v>
      </c>
      <c r="D8" s="11" t="n">
        <v>36.5</v>
      </c>
      <c r="E8" s="11" t="n">
        <v>63</v>
      </c>
      <c r="F8" s="11" t="n">
        <v>43</v>
      </c>
      <c r="G8" s="13" t="n">
        <v>1139767</v>
      </c>
      <c r="H8" s="11" t="n">
        <v>10</v>
      </c>
      <c r="I8" s="11" t="n">
        <v>6</v>
      </c>
      <c r="J8" s="11" t="n">
        <v>46</v>
      </c>
      <c r="K8" s="11" t="n">
        <v>0</v>
      </c>
      <c r="L8" s="11" t="n">
        <v>2</v>
      </c>
      <c r="M8" s="11" t="n">
        <v>1</v>
      </c>
      <c r="N8" s="11" t="n">
        <v>32</v>
      </c>
      <c r="O8" s="11" t="n">
        <v>20</v>
      </c>
      <c r="P8" s="11" t="n">
        <v>6</v>
      </c>
      <c r="Q8" s="11" t="n">
        <v>5</v>
      </c>
      <c r="R8" s="14" t="s">
        <v>69</v>
      </c>
      <c r="S8" s="15" t="n">
        <v>0.14</v>
      </c>
      <c r="T8" s="11" t="s">
        <v>70</v>
      </c>
      <c r="U8" s="14" t="s">
        <v>71</v>
      </c>
      <c r="V8" s="16" t="s">
        <v>56</v>
      </c>
      <c r="W8" s="17" t="s">
        <v>4</v>
      </c>
      <c r="X8" s="17"/>
      <c r="Y8" s="18"/>
      <c r="Z8" s="18"/>
      <c r="AA8" s="17"/>
      <c r="AB8" s="18"/>
    </row>
    <row r="9" customFormat="false" ht="35.05" hidden="false" customHeight="false" outlineLevel="0" collapsed="false">
      <c r="A9" s="11" t="n">
        <v>5</v>
      </c>
      <c r="B9" s="12" t="s">
        <v>72</v>
      </c>
      <c r="C9" s="11" t="s">
        <v>73</v>
      </c>
      <c r="D9" s="11" t="n">
        <v>36.4</v>
      </c>
      <c r="E9" s="11" t="n">
        <v>49</v>
      </c>
      <c r="F9" s="11" t="n">
        <v>46</v>
      </c>
      <c r="G9" s="13" t="n">
        <v>1413609</v>
      </c>
      <c r="H9" s="11" t="n">
        <v>5</v>
      </c>
      <c r="I9" s="11" t="n">
        <v>1</v>
      </c>
      <c r="J9" s="11" t="n">
        <v>43</v>
      </c>
      <c r="K9" s="11" t="n">
        <v>0</v>
      </c>
      <c r="L9" s="11" t="n">
        <v>0</v>
      </c>
      <c r="M9" s="11" t="n">
        <v>1</v>
      </c>
      <c r="N9" s="11" t="n">
        <v>30</v>
      </c>
      <c r="O9" s="11" t="n">
        <v>13</v>
      </c>
      <c r="P9" s="11" t="n">
        <v>4</v>
      </c>
      <c r="Q9" s="11" t="n">
        <v>2</v>
      </c>
      <c r="R9" s="14" t="s">
        <v>74</v>
      </c>
      <c r="S9" s="15" t="n">
        <v>0.06</v>
      </c>
      <c r="T9" s="11" t="s">
        <v>75</v>
      </c>
      <c r="U9" s="14" t="s">
        <v>76</v>
      </c>
      <c r="V9" s="16" t="s">
        <v>56</v>
      </c>
      <c r="W9" s="17" t="s">
        <v>4</v>
      </c>
      <c r="X9" s="17"/>
      <c r="Y9" s="18"/>
      <c r="Z9" s="18"/>
      <c r="AA9" s="17"/>
      <c r="AB9" s="18"/>
    </row>
    <row r="10" customFormat="false" ht="35.05" hidden="false" customHeight="false" outlineLevel="0" collapsed="false">
      <c r="A10" s="11" t="n">
        <v>6</v>
      </c>
      <c r="B10" s="12" t="s">
        <v>77</v>
      </c>
      <c r="C10" s="11" t="s">
        <v>78</v>
      </c>
      <c r="D10" s="11" t="n">
        <v>29.1</v>
      </c>
      <c r="E10" s="11" t="n">
        <v>38</v>
      </c>
      <c r="F10" s="11" t="n">
        <v>33</v>
      </c>
      <c r="G10" s="13" t="n">
        <v>819065</v>
      </c>
      <c r="H10" s="11" t="n">
        <v>10</v>
      </c>
      <c r="I10" s="11" t="n">
        <v>7</v>
      </c>
      <c r="J10" s="11" t="n">
        <v>20</v>
      </c>
      <c r="K10" s="11" t="n">
        <v>0</v>
      </c>
      <c r="L10" s="11" t="n">
        <v>1</v>
      </c>
      <c r="M10" s="11" t="n">
        <v>0</v>
      </c>
      <c r="N10" s="11" t="n">
        <v>22</v>
      </c>
      <c r="O10" s="11" t="n">
        <v>12</v>
      </c>
      <c r="P10" s="11" t="n">
        <v>2</v>
      </c>
      <c r="Q10" s="11" t="n">
        <v>2</v>
      </c>
      <c r="R10" s="14" t="s">
        <v>79</v>
      </c>
      <c r="S10" s="15" t="n">
        <v>0.05</v>
      </c>
      <c r="T10" s="11" t="s">
        <v>80</v>
      </c>
      <c r="U10" s="14" t="s">
        <v>81</v>
      </c>
      <c r="V10" s="16" t="s">
        <v>56</v>
      </c>
      <c r="W10" s="17" t="s">
        <v>4</v>
      </c>
      <c r="X10" s="17"/>
      <c r="Y10" s="18"/>
      <c r="Z10" s="18"/>
      <c r="AA10" s="17"/>
      <c r="AB10" s="18"/>
    </row>
    <row r="11" customFormat="false" ht="35.05" hidden="false" customHeight="false" outlineLevel="0" collapsed="false">
      <c r="A11" s="11" t="n">
        <v>7</v>
      </c>
      <c r="B11" s="12" t="s">
        <v>82</v>
      </c>
      <c r="C11" s="11" t="s">
        <v>83</v>
      </c>
      <c r="D11" s="11" t="n">
        <v>28.1</v>
      </c>
      <c r="E11" s="11" t="n">
        <v>108</v>
      </c>
      <c r="F11" s="11" t="n">
        <v>31</v>
      </c>
      <c r="G11" s="13" t="n">
        <v>1258626</v>
      </c>
      <c r="H11" s="11" t="n">
        <v>21</v>
      </c>
      <c r="I11" s="11" t="n">
        <v>6</v>
      </c>
      <c r="J11" s="11" t="n">
        <v>81</v>
      </c>
      <c r="K11" s="11" t="n">
        <v>1</v>
      </c>
      <c r="L11" s="11" t="n">
        <v>2</v>
      </c>
      <c r="M11" s="11" t="n">
        <v>6</v>
      </c>
      <c r="N11" s="11" t="n">
        <v>74</v>
      </c>
      <c r="O11" s="11" t="n">
        <v>25</v>
      </c>
      <c r="P11" s="11" t="n">
        <v>4</v>
      </c>
      <c r="Q11" s="11" t="n">
        <v>5</v>
      </c>
      <c r="R11" s="14" t="s">
        <v>84</v>
      </c>
      <c r="S11" s="15" t="n">
        <v>0.03</v>
      </c>
      <c r="T11" s="11" t="s">
        <v>85</v>
      </c>
      <c r="U11" s="14" t="s">
        <v>86</v>
      </c>
      <c r="V11" s="16" t="s">
        <v>56</v>
      </c>
      <c r="W11" s="17" t="s">
        <v>4</v>
      </c>
      <c r="X11" s="17"/>
      <c r="Y11" s="18"/>
      <c r="Z11" s="18"/>
      <c r="AA11" s="17"/>
      <c r="AB11" s="18"/>
    </row>
    <row r="12" customFormat="false" ht="35.05" hidden="false" customHeight="false" outlineLevel="0" collapsed="false">
      <c r="A12" s="11" t="n">
        <v>8</v>
      </c>
      <c r="B12" s="12" t="s">
        <v>87</v>
      </c>
      <c r="C12" s="11" t="s">
        <v>88</v>
      </c>
      <c r="D12" s="11" t="n">
        <v>26.2</v>
      </c>
      <c r="E12" s="11" t="n">
        <v>35</v>
      </c>
      <c r="F12" s="11" t="n">
        <v>27</v>
      </c>
      <c r="G12" s="13" t="n">
        <v>818500</v>
      </c>
      <c r="H12" s="11" t="n">
        <v>11</v>
      </c>
      <c r="I12" s="11" t="n">
        <v>13</v>
      </c>
      <c r="J12" s="11" t="n">
        <v>12</v>
      </c>
      <c r="K12" s="11" t="n">
        <v>1</v>
      </c>
      <c r="L12" s="11" t="n">
        <v>0</v>
      </c>
      <c r="M12" s="11" t="n">
        <v>0</v>
      </c>
      <c r="N12" s="11" t="n">
        <v>11</v>
      </c>
      <c r="O12" s="11" t="n">
        <v>18</v>
      </c>
      <c r="P12" s="11" t="n">
        <v>2</v>
      </c>
      <c r="Q12" s="11" t="n">
        <v>4</v>
      </c>
      <c r="R12" s="14" t="s">
        <v>89</v>
      </c>
      <c r="S12" s="15" t="n">
        <v>0.06</v>
      </c>
      <c r="T12" s="11" t="s">
        <v>90</v>
      </c>
      <c r="U12" s="14" t="s">
        <v>91</v>
      </c>
      <c r="V12" s="16" t="s">
        <v>56</v>
      </c>
      <c r="W12" s="17" t="s">
        <v>4</v>
      </c>
      <c r="X12" s="17"/>
      <c r="Y12" s="18"/>
      <c r="Z12" s="18"/>
      <c r="AA12" s="17"/>
      <c r="AB12" s="18"/>
    </row>
    <row r="13" customFormat="false" ht="35.05" hidden="false" customHeight="false" outlineLevel="0" collapsed="false">
      <c r="A13" s="11" t="n">
        <v>9</v>
      </c>
      <c r="B13" s="12" t="s">
        <v>92</v>
      </c>
      <c r="C13" s="11" t="s">
        <v>93</v>
      </c>
      <c r="D13" s="11" t="n">
        <v>26</v>
      </c>
      <c r="E13" s="11" t="n">
        <v>47</v>
      </c>
      <c r="F13" s="11" t="n">
        <v>27</v>
      </c>
      <c r="G13" s="13" t="n">
        <v>633171</v>
      </c>
      <c r="H13" s="11" t="n">
        <v>11</v>
      </c>
      <c r="I13" s="11" t="n">
        <v>13</v>
      </c>
      <c r="J13" s="11" t="n">
        <v>22</v>
      </c>
      <c r="K13" s="11" t="n">
        <v>0</v>
      </c>
      <c r="L13" s="11" t="n">
        <v>2</v>
      </c>
      <c r="M13" s="11" t="n">
        <v>3</v>
      </c>
      <c r="N13" s="11" t="n">
        <v>28</v>
      </c>
      <c r="O13" s="11" t="n">
        <v>10</v>
      </c>
      <c r="P13" s="11" t="n">
        <v>2</v>
      </c>
      <c r="Q13" s="11" t="n">
        <v>7</v>
      </c>
      <c r="R13" s="14" t="s">
        <v>94</v>
      </c>
      <c r="S13" s="15" t="n">
        <v>0.04</v>
      </c>
      <c r="T13" s="11" t="s">
        <v>95</v>
      </c>
      <c r="U13" s="14" t="s">
        <v>96</v>
      </c>
      <c r="V13" s="16" t="s">
        <v>56</v>
      </c>
      <c r="W13" s="17" t="s">
        <v>4</v>
      </c>
      <c r="X13" s="17"/>
      <c r="Y13" s="18"/>
      <c r="Z13" s="18"/>
      <c r="AA13" s="17"/>
      <c r="AB13" s="18"/>
    </row>
    <row r="14" customFormat="false" ht="35.05" hidden="false" customHeight="false" outlineLevel="0" collapsed="false">
      <c r="A14" s="11" t="n">
        <v>10</v>
      </c>
      <c r="B14" s="12" t="s">
        <v>97</v>
      </c>
      <c r="C14" s="11" t="s">
        <v>98</v>
      </c>
      <c r="D14" s="11" t="n">
        <v>25.6</v>
      </c>
      <c r="E14" s="11" t="n">
        <v>28</v>
      </c>
      <c r="F14" s="11" t="n">
        <v>28</v>
      </c>
      <c r="G14" s="13" t="n">
        <v>669579</v>
      </c>
      <c r="H14" s="11" t="n">
        <v>6</v>
      </c>
      <c r="I14" s="11" t="n">
        <v>1</v>
      </c>
      <c r="J14" s="11" t="n">
        <v>21</v>
      </c>
      <c r="K14" s="11" t="n">
        <v>2</v>
      </c>
      <c r="L14" s="11" t="n">
        <v>0</v>
      </c>
      <c r="M14" s="11" t="n">
        <v>0</v>
      </c>
      <c r="N14" s="11" t="n">
        <v>13</v>
      </c>
      <c r="O14" s="11" t="n">
        <v>15</v>
      </c>
      <c r="P14" s="11" t="n">
        <v>0</v>
      </c>
      <c r="Q14" s="11" t="n">
        <v>0</v>
      </c>
      <c r="R14" s="14" t="s">
        <v>99</v>
      </c>
      <c r="S14" s="15" t="n">
        <v>0.14</v>
      </c>
      <c r="T14" s="11" t="s">
        <v>100</v>
      </c>
      <c r="U14" s="14" t="s">
        <v>101</v>
      </c>
      <c r="V14" s="16" t="s">
        <v>56</v>
      </c>
      <c r="W14" s="17" t="s">
        <v>4</v>
      </c>
      <c r="X14" s="17"/>
      <c r="Y14" s="18"/>
      <c r="Z14" s="18"/>
      <c r="AA14" s="17"/>
      <c r="AB14" s="18"/>
    </row>
    <row r="15" customFormat="false" ht="23.85" hidden="false" customHeight="false" outlineLevel="0" collapsed="false">
      <c r="A15" s="11" t="n">
        <v>11</v>
      </c>
      <c r="B15" s="14" t="s">
        <v>102</v>
      </c>
      <c r="C15" s="11" t="s">
        <v>103</v>
      </c>
      <c r="D15" s="11" t="n">
        <v>25.4</v>
      </c>
      <c r="E15" s="11" t="n">
        <v>41</v>
      </c>
      <c r="F15" s="11" t="n">
        <v>32</v>
      </c>
      <c r="G15" s="13" t="n">
        <v>1384657</v>
      </c>
      <c r="H15" s="11" t="n">
        <v>3</v>
      </c>
      <c r="I15" s="11" t="n">
        <v>7</v>
      </c>
      <c r="J15" s="11" t="n">
        <v>32</v>
      </c>
      <c r="K15" s="11" t="n">
        <v>0</v>
      </c>
      <c r="L15" s="11" t="n">
        <v>0</v>
      </c>
      <c r="M15" s="11" t="n">
        <v>0</v>
      </c>
      <c r="N15" s="11" t="n">
        <v>12</v>
      </c>
      <c r="O15" s="11" t="n">
        <v>25</v>
      </c>
      <c r="P15" s="11" t="n">
        <v>4</v>
      </c>
      <c r="Q15" s="11" t="n">
        <v>0</v>
      </c>
      <c r="R15" s="14" t="s">
        <v>104</v>
      </c>
      <c r="S15" s="15" t="n">
        <v>0.07</v>
      </c>
      <c r="T15" s="11" t="s">
        <v>90</v>
      </c>
      <c r="U15" s="14" t="s">
        <v>105</v>
      </c>
      <c r="V15" s="16" t="s">
        <v>56</v>
      </c>
      <c r="W15" s="17" t="s">
        <v>4</v>
      </c>
      <c r="X15" s="17"/>
      <c r="Y15" s="18"/>
      <c r="Z15" s="18"/>
      <c r="AA15" s="17"/>
      <c r="AB15" s="18"/>
    </row>
    <row r="16" customFormat="false" ht="23.85" hidden="false" customHeight="false" outlineLevel="0" collapsed="false">
      <c r="A16" s="11" t="n">
        <v>12</v>
      </c>
      <c r="B16" s="14" t="s">
        <v>106</v>
      </c>
      <c r="C16" s="11" t="s">
        <v>107</v>
      </c>
      <c r="D16" s="11" t="n">
        <v>25.3</v>
      </c>
      <c r="E16" s="11" t="n">
        <v>45</v>
      </c>
      <c r="F16" s="11" t="n">
        <v>32</v>
      </c>
      <c r="G16" s="13" t="n">
        <v>805052</v>
      </c>
      <c r="H16" s="11" t="n">
        <v>5</v>
      </c>
      <c r="I16" s="11" t="n">
        <v>2</v>
      </c>
      <c r="J16" s="11" t="n">
        <v>37</v>
      </c>
      <c r="K16" s="11" t="n">
        <v>0</v>
      </c>
      <c r="L16" s="11" t="n">
        <v>1</v>
      </c>
      <c r="M16" s="11" t="n">
        <v>0</v>
      </c>
      <c r="N16" s="11" t="n">
        <v>25</v>
      </c>
      <c r="O16" s="11" t="n">
        <v>17</v>
      </c>
      <c r="P16" s="11" t="n">
        <v>2</v>
      </c>
      <c r="Q16" s="11" t="n">
        <v>1</v>
      </c>
      <c r="R16" s="14" t="s">
        <v>108</v>
      </c>
      <c r="S16" s="15" t="n">
        <v>0.04</v>
      </c>
      <c r="T16" s="11" t="s">
        <v>100</v>
      </c>
      <c r="U16" s="14" t="s">
        <v>109</v>
      </c>
      <c r="V16" s="16" t="s">
        <v>56</v>
      </c>
      <c r="W16" s="17" t="s">
        <v>4</v>
      </c>
      <c r="X16" s="17"/>
      <c r="Y16" s="18"/>
      <c r="Z16" s="18"/>
      <c r="AA16" s="17"/>
      <c r="AB16" s="18"/>
    </row>
    <row r="17" customFormat="false" ht="35.05" hidden="false" customHeight="false" outlineLevel="0" collapsed="false">
      <c r="A17" s="11" t="n">
        <v>13</v>
      </c>
      <c r="B17" s="14" t="s">
        <v>110</v>
      </c>
      <c r="C17" s="11" t="s">
        <v>111</v>
      </c>
      <c r="D17" s="11" t="n">
        <v>22.2</v>
      </c>
      <c r="E17" s="11" t="n">
        <v>32</v>
      </c>
      <c r="F17" s="11" t="n">
        <v>26</v>
      </c>
      <c r="G17" s="13" t="n">
        <v>790245</v>
      </c>
      <c r="H17" s="11" t="n">
        <v>2</v>
      </c>
      <c r="I17" s="11" t="n">
        <v>14</v>
      </c>
      <c r="J17" s="11" t="n">
        <v>15</v>
      </c>
      <c r="K17" s="11" t="n">
        <v>0</v>
      </c>
      <c r="L17" s="11" t="n">
        <v>2</v>
      </c>
      <c r="M17" s="11" t="n">
        <v>0</v>
      </c>
      <c r="N17" s="11" t="n">
        <v>18</v>
      </c>
      <c r="O17" s="11" t="n">
        <v>13</v>
      </c>
      <c r="P17" s="11" t="n">
        <v>1</v>
      </c>
      <c r="Q17" s="11" t="n">
        <v>0</v>
      </c>
      <c r="R17" s="14" t="s">
        <v>112</v>
      </c>
      <c r="S17" s="15" t="n">
        <v>0.12</v>
      </c>
      <c r="T17" s="11" t="s">
        <v>54</v>
      </c>
      <c r="U17" s="14" t="s">
        <v>113</v>
      </c>
      <c r="V17" s="16" t="s">
        <v>56</v>
      </c>
      <c r="W17" s="17" t="s">
        <v>4</v>
      </c>
      <c r="X17" s="17"/>
      <c r="Y17" s="18"/>
      <c r="Z17" s="18"/>
      <c r="AA17" s="17"/>
      <c r="AB17" s="18"/>
    </row>
    <row r="18" customFormat="false" ht="35.05" hidden="false" customHeight="false" outlineLevel="0" collapsed="false">
      <c r="A18" s="11" t="n">
        <v>14</v>
      </c>
      <c r="B18" s="14" t="s">
        <v>114</v>
      </c>
      <c r="C18" s="11" t="s">
        <v>115</v>
      </c>
      <c r="D18" s="11" t="n">
        <v>21.8</v>
      </c>
      <c r="E18" s="11" t="n">
        <v>52</v>
      </c>
      <c r="F18" s="11" t="n">
        <v>27</v>
      </c>
      <c r="G18" s="13" t="n">
        <v>1003950</v>
      </c>
      <c r="H18" s="11" t="n">
        <v>8</v>
      </c>
      <c r="I18" s="11" t="n">
        <v>6</v>
      </c>
      <c r="J18" s="11" t="n">
        <v>38</v>
      </c>
      <c r="K18" s="11" t="n">
        <v>0</v>
      </c>
      <c r="L18" s="11" t="n">
        <v>0</v>
      </c>
      <c r="M18" s="11" t="n">
        <v>0</v>
      </c>
      <c r="N18" s="11" t="n">
        <v>21</v>
      </c>
      <c r="O18" s="11" t="n">
        <v>25</v>
      </c>
      <c r="P18" s="11" t="n">
        <v>4</v>
      </c>
      <c r="Q18" s="11" t="n">
        <v>2</v>
      </c>
      <c r="R18" s="14" t="s">
        <v>116</v>
      </c>
      <c r="S18" s="15" t="n">
        <v>0.08</v>
      </c>
      <c r="T18" s="11" t="s">
        <v>117</v>
      </c>
      <c r="U18" s="14" t="s">
        <v>118</v>
      </c>
      <c r="V18" s="16" t="s">
        <v>56</v>
      </c>
      <c r="W18" s="17" t="s">
        <v>4</v>
      </c>
      <c r="X18" s="17"/>
      <c r="Y18" s="18"/>
      <c r="Z18" s="18"/>
      <c r="AA18" s="17"/>
      <c r="AB18" s="18"/>
    </row>
    <row r="19" customFormat="false" ht="23.85" hidden="false" customHeight="false" outlineLevel="0" collapsed="false">
      <c r="A19" s="11" t="n">
        <v>15</v>
      </c>
      <c r="B19" s="14" t="s">
        <v>119</v>
      </c>
      <c r="C19" s="11" t="s">
        <v>120</v>
      </c>
      <c r="D19" s="11" t="n">
        <v>21.7</v>
      </c>
      <c r="E19" s="11" t="n">
        <v>24</v>
      </c>
      <c r="F19" s="11" t="n">
        <v>19</v>
      </c>
      <c r="G19" s="13" t="n">
        <v>321293</v>
      </c>
      <c r="H19" s="11" t="n">
        <v>9</v>
      </c>
      <c r="I19" s="11" t="n">
        <v>12</v>
      </c>
      <c r="J19" s="11" t="n">
        <v>9</v>
      </c>
      <c r="K19" s="11" t="n">
        <v>0</v>
      </c>
      <c r="L19" s="11" t="n">
        <v>0</v>
      </c>
      <c r="M19" s="11" t="n">
        <v>0</v>
      </c>
      <c r="N19" s="11" t="n">
        <v>16</v>
      </c>
      <c r="O19" s="11" t="n">
        <v>6</v>
      </c>
      <c r="P19" s="11" t="n">
        <v>1</v>
      </c>
      <c r="Q19" s="11" t="n">
        <v>1</v>
      </c>
      <c r="R19" s="14" t="s">
        <v>121</v>
      </c>
      <c r="S19" s="15" t="n">
        <v>0.17</v>
      </c>
      <c r="T19" s="11" t="s">
        <v>122</v>
      </c>
      <c r="U19" s="14" t="s">
        <v>123</v>
      </c>
      <c r="V19" s="16" t="s">
        <v>56</v>
      </c>
      <c r="W19" s="17" t="s">
        <v>4</v>
      </c>
      <c r="X19" s="17"/>
      <c r="Y19" s="18"/>
      <c r="Z19" s="18"/>
      <c r="AA19" s="17"/>
      <c r="AB19" s="18"/>
    </row>
    <row r="20" customFormat="false" ht="35.05" hidden="false" customHeight="false" outlineLevel="0" collapsed="false">
      <c r="A20" s="11" t="n">
        <v>16</v>
      </c>
      <c r="B20" s="14" t="s">
        <v>124</v>
      </c>
      <c r="C20" s="11" t="s">
        <v>125</v>
      </c>
      <c r="D20" s="11" t="n">
        <v>21.5</v>
      </c>
      <c r="E20" s="11" t="n">
        <v>29</v>
      </c>
      <c r="F20" s="11" t="n">
        <v>27</v>
      </c>
      <c r="G20" s="13" t="n">
        <v>763783</v>
      </c>
      <c r="H20" s="11" t="n">
        <v>2</v>
      </c>
      <c r="I20" s="11" t="n">
        <v>10</v>
      </c>
      <c r="J20" s="11" t="n">
        <v>17</v>
      </c>
      <c r="K20" s="11" t="n">
        <v>0</v>
      </c>
      <c r="L20" s="11" t="n">
        <v>0</v>
      </c>
      <c r="M20" s="11" t="n">
        <v>0</v>
      </c>
      <c r="N20" s="11" t="n">
        <v>14</v>
      </c>
      <c r="O20" s="11" t="n">
        <v>12</v>
      </c>
      <c r="P20" s="11" t="n">
        <v>2</v>
      </c>
      <c r="Q20" s="11" t="n">
        <v>1</v>
      </c>
      <c r="R20" s="14" t="s">
        <v>126</v>
      </c>
      <c r="S20" s="15" t="n">
        <v>0.07</v>
      </c>
      <c r="T20" s="11" t="s">
        <v>127</v>
      </c>
      <c r="U20" s="14" t="s">
        <v>128</v>
      </c>
      <c r="V20" s="16" t="s">
        <v>56</v>
      </c>
      <c r="W20" s="17" t="s">
        <v>4</v>
      </c>
      <c r="X20" s="17"/>
      <c r="Y20" s="18"/>
      <c r="Z20" s="18"/>
      <c r="AA20" s="17"/>
      <c r="AB20" s="18"/>
    </row>
    <row r="21" customFormat="false" ht="35.05" hidden="false" customHeight="false" outlineLevel="0" collapsed="false">
      <c r="A21" s="11" t="n">
        <v>17</v>
      </c>
      <c r="B21" s="14" t="s">
        <v>129</v>
      </c>
      <c r="C21" s="11" t="s">
        <v>130</v>
      </c>
      <c r="D21" s="11" t="n">
        <v>21.2</v>
      </c>
      <c r="E21" s="11" t="n">
        <v>21</v>
      </c>
      <c r="F21" s="11" t="n">
        <v>21</v>
      </c>
      <c r="G21" s="13" t="n">
        <v>499309</v>
      </c>
      <c r="H21" s="11" t="n">
        <v>1</v>
      </c>
      <c r="I21" s="11" t="n">
        <v>15</v>
      </c>
      <c r="J21" s="11" t="n">
        <v>7</v>
      </c>
      <c r="K21" s="11" t="n">
        <v>0</v>
      </c>
      <c r="L21" s="11" t="n">
        <v>2</v>
      </c>
      <c r="M21" s="11" t="n">
        <v>0</v>
      </c>
      <c r="N21" s="11" t="n">
        <v>16</v>
      </c>
      <c r="O21" s="11" t="n">
        <v>5</v>
      </c>
      <c r="P21" s="11" t="n">
        <v>0</v>
      </c>
      <c r="Q21" s="11" t="n">
        <v>0</v>
      </c>
      <c r="R21" s="14" t="s">
        <v>131</v>
      </c>
      <c r="S21" s="15" t="n">
        <v>0.1</v>
      </c>
      <c r="T21" s="11" t="s">
        <v>132</v>
      </c>
      <c r="U21" s="14" t="s">
        <v>133</v>
      </c>
      <c r="V21" s="16" t="s">
        <v>56</v>
      </c>
      <c r="W21" s="17" t="s">
        <v>4</v>
      </c>
      <c r="X21" s="17"/>
      <c r="Y21" s="18"/>
      <c r="Z21" s="18"/>
      <c r="AA21" s="17"/>
      <c r="AB21" s="18"/>
    </row>
    <row r="22" customFormat="false" ht="23.85" hidden="false" customHeight="false" outlineLevel="0" collapsed="false">
      <c r="A22" s="11" t="n">
        <v>18</v>
      </c>
      <c r="B22" s="14" t="s">
        <v>134</v>
      </c>
      <c r="C22" s="11" t="s">
        <v>135</v>
      </c>
      <c r="D22" s="11" t="n">
        <v>21.1</v>
      </c>
      <c r="E22" s="11" t="n">
        <v>27</v>
      </c>
      <c r="F22" s="11" t="n">
        <v>23</v>
      </c>
      <c r="G22" s="13" t="n">
        <v>917210</v>
      </c>
      <c r="H22" s="11" t="n">
        <v>4</v>
      </c>
      <c r="I22" s="11" t="n">
        <v>4</v>
      </c>
      <c r="J22" s="11" t="n">
        <v>20</v>
      </c>
      <c r="K22" s="11" t="n">
        <v>1</v>
      </c>
      <c r="L22" s="11" t="n">
        <v>0</v>
      </c>
      <c r="M22" s="11" t="n">
        <v>1</v>
      </c>
      <c r="N22" s="11" t="n">
        <v>17</v>
      </c>
      <c r="O22" s="11" t="n">
        <v>6</v>
      </c>
      <c r="P22" s="11" t="n">
        <v>1</v>
      </c>
      <c r="Q22" s="11" t="n">
        <v>3</v>
      </c>
      <c r="R22" s="14" t="s">
        <v>136</v>
      </c>
      <c r="S22" s="15" t="n">
        <v>0.11</v>
      </c>
      <c r="T22" s="11" t="s">
        <v>137</v>
      </c>
      <c r="U22" s="14" t="s">
        <v>138</v>
      </c>
      <c r="V22" s="16" t="s">
        <v>56</v>
      </c>
      <c r="W22" s="17" t="s">
        <v>4</v>
      </c>
      <c r="X22" s="17"/>
      <c r="Y22" s="18"/>
      <c r="Z22" s="18"/>
      <c r="AA22" s="17"/>
      <c r="AB22" s="18"/>
    </row>
    <row r="23" customFormat="false" ht="35.05" hidden="false" customHeight="false" outlineLevel="0" collapsed="false">
      <c r="A23" s="11" t="n">
        <v>19</v>
      </c>
      <c r="B23" s="14" t="s">
        <v>139</v>
      </c>
      <c r="C23" s="11" t="s">
        <v>140</v>
      </c>
      <c r="D23" s="11" t="n">
        <v>19</v>
      </c>
      <c r="E23" s="11" t="n">
        <v>36</v>
      </c>
      <c r="F23" s="11" t="n">
        <v>22</v>
      </c>
      <c r="G23" s="13" t="n">
        <v>624044</v>
      </c>
      <c r="H23" s="11" t="n">
        <v>7</v>
      </c>
      <c r="I23" s="11" t="n">
        <v>5</v>
      </c>
      <c r="J23" s="11" t="n">
        <v>24</v>
      </c>
      <c r="K23" s="11" t="n">
        <v>0</v>
      </c>
      <c r="L23" s="11" t="n">
        <v>1</v>
      </c>
      <c r="M23" s="11" t="n">
        <v>0</v>
      </c>
      <c r="N23" s="11" t="n">
        <v>19</v>
      </c>
      <c r="O23" s="11" t="n">
        <v>11</v>
      </c>
      <c r="P23" s="11" t="n">
        <v>2</v>
      </c>
      <c r="Q23" s="11" t="n">
        <v>4</v>
      </c>
      <c r="R23" s="14" t="s">
        <v>141</v>
      </c>
      <c r="S23" s="15" t="n">
        <v>0.11</v>
      </c>
      <c r="T23" s="11" t="s">
        <v>142</v>
      </c>
      <c r="U23" s="14" t="s">
        <v>143</v>
      </c>
      <c r="V23" s="16" t="s">
        <v>56</v>
      </c>
      <c r="W23" s="17" t="s">
        <v>4</v>
      </c>
      <c r="X23" s="17"/>
      <c r="Y23" s="18"/>
      <c r="Z23" s="18"/>
      <c r="AA23" s="17"/>
      <c r="AB23" s="18"/>
    </row>
    <row r="24" customFormat="false" ht="23.85" hidden="false" customHeight="false" outlineLevel="0" collapsed="false">
      <c r="A24" s="11" t="n">
        <v>20</v>
      </c>
      <c r="B24" s="14" t="s">
        <v>144</v>
      </c>
      <c r="C24" s="11" t="s">
        <v>145</v>
      </c>
      <c r="D24" s="11" t="n">
        <v>18.8</v>
      </c>
      <c r="E24" s="11" t="n">
        <v>31</v>
      </c>
      <c r="F24" s="11" t="n">
        <v>22</v>
      </c>
      <c r="G24" s="13" t="n">
        <v>372268</v>
      </c>
      <c r="H24" s="11" t="n">
        <v>4</v>
      </c>
      <c r="I24" s="11" t="n">
        <v>5</v>
      </c>
      <c r="J24" s="11" t="n">
        <v>15</v>
      </c>
      <c r="K24" s="11" t="n">
        <v>0</v>
      </c>
      <c r="L24" s="11" t="n">
        <v>0</v>
      </c>
      <c r="M24" s="11" t="n">
        <v>7</v>
      </c>
      <c r="N24" s="11" t="n">
        <v>23</v>
      </c>
      <c r="O24" s="11" t="n">
        <v>5</v>
      </c>
      <c r="P24" s="11" t="n">
        <v>3</v>
      </c>
      <c r="Q24" s="11" t="n">
        <v>0</v>
      </c>
      <c r="R24" s="14" t="s">
        <v>146</v>
      </c>
      <c r="S24" s="15" t="n">
        <v>0.13</v>
      </c>
      <c r="T24" s="11" t="s">
        <v>75</v>
      </c>
      <c r="U24" s="14" t="s">
        <v>147</v>
      </c>
      <c r="V24" s="16" t="s">
        <v>56</v>
      </c>
      <c r="W24" s="17" t="s">
        <v>4</v>
      </c>
      <c r="X24" s="17"/>
      <c r="Y24" s="18"/>
      <c r="Z24" s="18"/>
      <c r="AA24" s="17"/>
      <c r="AB24" s="18"/>
    </row>
    <row r="25" customFormat="false" ht="23.85" hidden="false" customHeight="false" outlineLevel="0" collapsed="false">
      <c r="A25" s="11" t="n">
        <v>21</v>
      </c>
      <c r="B25" s="14" t="s">
        <v>148</v>
      </c>
      <c r="C25" s="11" t="s">
        <v>149</v>
      </c>
      <c r="D25" s="11" t="n">
        <v>17.5</v>
      </c>
      <c r="E25" s="11" t="n">
        <v>26</v>
      </c>
      <c r="F25" s="11" t="n">
        <v>21</v>
      </c>
      <c r="G25" s="13" t="n">
        <v>443131</v>
      </c>
      <c r="H25" s="11" t="n">
        <v>3</v>
      </c>
      <c r="I25" s="11" t="n">
        <v>7</v>
      </c>
      <c r="J25" s="11" t="n">
        <v>17</v>
      </c>
      <c r="K25" s="11" t="n">
        <v>0</v>
      </c>
      <c r="L25" s="11" t="n">
        <v>0</v>
      </c>
      <c r="M25" s="11" t="n">
        <v>0</v>
      </c>
      <c r="N25" s="11" t="n">
        <v>14</v>
      </c>
      <c r="O25" s="11" t="n">
        <v>9</v>
      </c>
      <c r="P25" s="11" t="n">
        <v>1</v>
      </c>
      <c r="Q25" s="11" t="n">
        <v>2</v>
      </c>
      <c r="R25" s="14" t="s">
        <v>150</v>
      </c>
      <c r="S25" s="15" t="n">
        <v>0.12</v>
      </c>
      <c r="T25" s="11" t="s">
        <v>60</v>
      </c>
      <c r="U25" s="14" t="s">
        <v>151</v>
      </c>
      <c r="V25" s="16" t="s">
        <v>56</v>
      </c>
      <c r="W25" s="17" t="s">
        <v>4</v>
      </c>
      <c r="X25" s="17"/>
      <c r="Y25" s="18"/>
      <c r="Z25" s="18"/>
      <c r="AA25" s="17"/>
      <c r="AB25" s="18"/>
    </row>
    <row r="26" customFormat="false" ht="23.85" hidden="false" customHeight="false" outlineLevel="0" collapsed="false">
      <c r="A26" s="11" t="n">
        <v>22</v>
      </c>
      <c r="B26" s="14" t="s">
        <v>152</v>
      </c>
      <c r="C26" s="11" t="s">
        <v>153</v>
      </c>
      <c r="D26" s="11" t="n">
        <v>17.4</v>
      </c>
      <c r="E26" s="11" t="n">
        <v>22</v>
      </c>
      <c r="F26" s="11" t="n">
        <v>21</v>
      </c>
      <c r="G26" s="13" t="n">
        <v>656702</v>
      </c>
      <c r="H26" s="11" t="n">
        <v>1</v>
      </c>
      <c r="I26" s="11" t="n">
        <v>8</v>
      </c>
      <c r="J26" s="11" t="n">
        <v>13</v>
      </c>
      <c r="K26" s="11" t="n">
        <v>0</v>
      </c>
      <c r="L26" s="11" t="n">
        <v>0</v>
      </c>
      <c r="M26" s="11" t="n">
        <v>1</v>
      </c>
      <c r="N26" s="11" t="n">
        <v>12</v>
      </c>
      <c r="O26" s="11" t="n">
        <v>9</v>
      </c>
      <c r="P26" s="11" t="n">
        <v>1</v>
      </c>
      <c r="Q26" s="11" t="n">
        <v>0</v>
      </c>
      <c r="R26" s="14" t="s">
        <v>154</v>
      </c>
      <c r="S26" s="15" t="n">
        <v>0.09</v>
      </c>
      <c r="T26" s="11" t="s">
        <v>155</v>
      </c>
      <c r="U26" s="14" t="s">
        <v>156</v>
      </c>
      <c r="V26" s="16" t="s">
        <v>56</v>
      </c>
      <c r="W26" s="17" t="s">
        <v>4</v>
      </c>
      <c r="X26" s="17"/>
      <c r="Y26" s="18"/>
      <c r="Z26" s="18"/>
      <c r="AA26" s="17"/>
      <c r="AB26" s="18"/>
    </row>
    <row r="27" customFormat="false" ht="23.85" hidden="false" customHeight="false" outlineLevel="0" collapsed="false">
      <c r="A27" s="11" t="n">
        <v>23</v>
      </c>
      <c r="B27" s="14" t="s">
        <v>157</v>
      </c>
      <c r="C27" s="11" t="s">
        <v>158</v>
      </c>
      <c r="D27" s="11" t="n">
        <v>16.9</v>
      </c>
      <c r="E27" s="11" t="n">
        <v>35</v>
      </c>
      <c r="F27" s="11" t="n">
        <v>20</v>
      </c>
      <c r="G27" s="13" t="n">
        <v>516965</v>
      </c>
      <c r="H27" s="11" t="n">
        <v>4</v>
      </c>
      <c r="I27" s="11" t="n">
        <v>6</v>
      </c>
      <c r="J27" s="11" t="n">
        <v>24</v>
      </c>
      <c r="K27" s="11" t="n">
        <v>0</v>
      </c>
      <c r="L27" s="11" t="n">
        <v>2</v>
      </c>
      <c r="M27" s="11" t="n">
        <v>0</v>
      </c>
      <c r="N27" s="11" t="n">
        <v>18</v>
      </c>
      <c r="O27" s="11" t="n">
        <v>14</v>
      </c>
      <c r="P27" s="11" t="n">
        <v>1</v>
      </c>
      <c r="Q27" s="11" t="n">
        <v>2</v>
      </c>
      <c r="R27" s="14" t="s">
        <v>159</v>
      </c>
      <c r="S27" s="15" t="n">
        <v>0.11</v>
      </c>
      <c r="T27" s="11" t="s">
        <v>85</v>
      </c>
      <c r="U27" s="14" t="s">
        <v>160</v>
      </c>
      <c r="V27" s="16" t="s">
        <v>56</v>
      </c>
      <c r="W27" s="17" t="s">
        <v>4</v>
      </c>
      <c r="X27" s="17"/>
      <c r="Y27" s="18"/>
      <c r="Z27" s="18"/>
      <c r="AA27" s="17"/>
      <c r="AB27" s="18"/>
    </row>
    <row r="28" customFormat="false" ht="35.05" hidden="false" customHeight="false" outlineLevel="0" collapsed="false">
      <c r="A28" s="11" t="n">
        <v>24</v>
      </c>
      <c r="B28" s="14" t="s">
        <v>161</v>
      </c>
      <c r="C28" s="11" t="s">
        <v>162</v>
      </c>
      <c r="D28" s="11" t="n">
        <v>15.8</v>
      </c>
      <c r="E28" s="11" t="n">
        <v>19</v>
      </c>
      <c r="F28" s="11" t="n">
        <v>19</v>
      </c>
      <c r="G28" s="13" t="n">
        <v>331730</v>
      </c>
      <c r="H28" s="11" t="n">
        <v>0</v>
      </c>
      <c r="I28" s="11" t="n">
        <v>2</v>
      </c>
      <c r="J28" s="11" t="n">
        <v>15</v>
      </c>
      <c r="K28" s="11" t="n">
        <v>0</v>
      </c>
      <c r="L28" s="11" t="n">
        <v>2</v>
      </c>
      <c r="M28" s="11" t="n">
        <v>1</v>
      </c>
      <c r="N28" s="11" t="n">
        <v>16</v>
      </c>
      <c r="O28" s="11" t="n">
        <v>3</v>
      </c>
      <c r="P28" s="11" t="n">
        <v>0</v>
      </c>
      <c r="Q28" s="11" t="n">
        <v>0</v>
      </c>
      <c r="R28" s="14" t="s">
        <v>163</v>
      </c>
      <c r="S28" s="15" t="n">
        <v>0.11</v>
      </c>
      <c r="T28" s="11" t="s">
        <v>164</v>
      </c>
      <c r="U28" s="14" t="s">
        <v>165</v>
      </c>
      <c r="V28" s="16" t="s">
        <v>56</v>
      </c>
      <c r="W28" s="17" t="s">
        <v>4</v>
      </c>
      <c r="X28" s="17"/>
      <c r="Y28" s="18"/>
      <c r="Z28" s="18"/>
      <c r="AA28" s="17"/>
      <c r="AB28" s="18"/>
    </row>
    <row r="29" customFormat="false" ht="35.05" hidden="false" customHeight="false" outlineLevel="0" collapsed="false">
      <c r="A29" s="11" t="n">
        <v>25</v>
      </c>
      <c r="B29" s="14" t="s">
        <v>166</v>
      </c>
      <c r="C29" s="11" t="s">
        <v>167</v>
      </c>
      <c r="D29" s="11" t="n">
        <v>15.6</v>
      </c>
      <c r="E29" s="11" t="n">
        <v>20</v>
      </c>
      <c r="F29" s="11" t="n">
        <v>18</v>
      </c>
      <c r="G29" s="13" t="n">
        <v>344674</v>
      </c>
      <c r="H29" s="11" t="n">
        <v>3</v>
      </c>
      <c r="I29" s="11" t="n">
        <v>6</v>
      </c>
      <c r="J29" s="11" t="n">
        <v>12</v>
      </c>
      <c r="K29" s="11" t="n">
        <v>0</v>
      </c>
      <c r="L29" s="11" t="n">
        <v>0</v>
      </c>
      <c r="M29" s="11" t="n">
        <v>0</v>
      </c>
      <c r="N29" s="11" t="n">
        <v>14</v>
      </c>
      <c r="O29" s="11" t="n">
        <v>5</v>
      </c>
      <c r="P29" s="11" t="n">
        <v>1</v>
      </c>
      <c r="Q29" s="11" t="n">
        <v>0</v>
      </c>
      <c r="R29" s="14" t="s">
        <v>168</v>
      </c>
      <c r="S29" s="15" t="n">
        <v>0.2</v>
      </c>
      <c r="T29" s="11" t="s">
        <v>169</v>
      </c>
      <c r="U29" s="14" t="s">
        <v>170</v>
      </c>
      <c r="V29" s="16" t="s">
        <v>56</v>
      </c>
      <c r="W29" s="17" t="s">
        <v>4</v>
      </c>
      <c r="X29" s="17"/>
      <c r="Y29" s="18"/>
      <c r="Z29" s="18"/>
      <c r="AA29" s="17"/>
      <c r="AB29" s="18"/>
    </row>
    <row r="30" customFormat="false" ht="35.05" hidden="false" customHeight="false" outlineLevel="0" collapsed="false">
      <c r="A30" s="11" t="n">
        <v>26</v>
      </c>
      <c r="B30" s="14" t="s">
        <v>171</v>
      </c>
      <c r="C30" s="11" t="s">
        <v>172</v>
      </c>
      <c r="D30" s="11" t="n">
        <v>14.3</v>
      </c>
      <c r="E30" s="11" t="n">
        <v>20</v>
      </c>
      <c r="F30" s="11" t="n">
        <v>17</v>
      </c>
      <c r="G30" s="13" t="n">
        <v>575930</v>
      </c>
      <c r="H30" s="11" t="n">
        <v>3</v>
      </c>
      <c r="I30" s="11" t="n">
        <v>8</v>
      </c>
      <c r="J30" s="11" t="n">
        <v>9</v>
      </c>
      <c r="K30" s="11" t="n">
        <v>0</v>
      </c>
      <c r="L30" s="11" t="n">
        <v>0</v>
      </c>
      <c r="M30" s="11" t="n">
        <v>0</v>
      </c>
      <c r="N30" s="11" t="n">
        <v>8</v>
      </c>
      <c r="O30" s="11" t="n">
        <v>7</v>
      </c>
      <c r="P30" s="11" t="n">
        <v>4</v>
      </c>
      <c r="Q30" s="11" t="n">
        <v>1</v>
      </c>
      <c r="R30" s="14" t="s">
        <v>173</v>
      </c>
      <c r="S30" s="15" t="n">
        <v>0.15</v>
      </c>
      <c r="T30" s="11" t="s">
        <v>174</v>
      </c>
      <c r="U30" s="14" t="s">
        <v>175</v>
      </c>
      <c r="V30" s="16" t="s">
        <v>56</v>
      </c>
      <c r="W30" s="17" t="s">
        <v>4</v>
      </c>
      <c r="X30" s="17"/>
      <c r="Y30" s="18"/>
      <c r="Z30" s="18"/>
      <c r="AA30" s="17"/>
      <c r="AB30" s="18"/>
    </row>
    <row r="31" customFormat="false" ht="35.05" hidden="false" customHeight="false" outlineLevel="0" collapsed="false">
      <c r="A31" s="11" t="n">
        <v>27</v>
      </c>
      <c r="B31" s="14" t="s">
        <v>176</v>
      </c>
      <c r="C31" s="11" t="s">
        <v>177</v>
      </c>
      <c r="D31" s="11" t="n">
        <v>14.1</v>
      </c>
      <c r="E31" s="11" t="n">
        <v>17</v>
      </c>
      <c r="F31" s="11" t="n">
        <v>12</v>
      </c>
      <c r="G31" s="13" t="n">
        <v>171204</v>
      </c>
      <c r="H31" s="11" t="n">
        <v>6</v>
      </c>
      <c r="I31" s="11" t="n">
        <v>2</v>
      </c>
      <c r="J31" s="11" t="n">
        <v>9</v>
      </c>
      <c r="K31" s="11" t="n">
        <v>0</v>
      </c>
      <c r="L31" s="11" t="n">
        <v>3</v>
      </c>
      <c r="M31" s="11" t="n">
        <v>1</v>
      </c>
      <c r="N31" s="11" t="n">
        <v>8</v>
      </c>
      <c r="O31" s="11" t="n">
        <v>7</v>
      </c>
      <c r="P31" s="11" t="n">
        <v>0</v>
      </c>
      <c r="Q31" s="11" t="n">
        <v>2</v>
      </c>
      <c r="R31" s="14" t="s">
        <v>178</v>
      </c>
      <c r="S31" s="15" t="n">
        <v>0.12</v>
      </c>
      <c r="T31" s="11" t="s">
        <v>179</v>
      </c>
      <c r="U31" s="14" t="s">
        <v>180</v>
      </c>
      <c r="V31" s="16" t="s">
        <v>56</v>
      </c>
      <c r="W31" s="17" t="s">
        <v>4</v>
      </c>
      <c r="X31" s="17"/>
      <c r="Y31" s="18"/>
      <c r="Z31" s="18"/>
      <c r="AA31" s="17"/>
      <c r="AB31" s="18"/>
    </row>
    <row r="32" customFormat="false" ht="23.85" hidden="false" customHeight="false" outlineLevel="0" collapsed="false">
      <c r="A32" s="11" t="n">
        <v>28</v>
      </c>
      <c r="B32" s="14" t="s">
        <v>181</v>
      </c>
      <c r="C32" s="11" t="s">
        <v>182</v>
      </c>
      <c r="D32" s="11" t="n">
        <v>14</v>
      </c>
      <c r="E32" s="11" t="n">
        <v>19</v>
      </c>
      <c r="F32" s="11" t="n">
        <v>14</v>
      </c>
      <c r="G32" s="13" t="n">
        <v>777803</v>
      </c>
      <c r="H32" s="11" t="n">
        <v>6</v>
      </c>
      <c r="I32" s="11" t="n">
        <v>8</v>
      </c>
      <c r="J32" s="11" t="n">
        <v>7</v>
      </c>
      <c r="K32" s="11" t="n">
        <v>0</v>
      </c>
      <c r="L32" s="11" t="n">
        <v>0</v>
      </c>
      <c r="M32" s="11" t="n">
        <v>0</v>
      </c>
      <c r="N32" s="11" t="n">
        <v>7</v>
      </c>
      <c r="O32" s="11" t="n">
        <v>7</v>
      </c>
      <c r="P32" s="11" t="n">
        <v>1</v>
      </c>
      <c r="Q32" s="11" t="n">
        <v>4</v>
      </c>
      <c r="R32" s="14" t="s">
        <v>183</v>
      </c>
      <c r="S32" s="15" t="n">
        <v>0.21</v>
      </c>
      <c r="T32" s="11" t="s">
        <v>164</v>
      </c>
      <c r="U32" s="14" t="s">
        <v>184</v>
      </c>
      <c r="V32" s="16" t="s">
        <v>56</v>
      </c>
      <c r="W32" s="17" t="s">
        <v>4</v>
      </c>
      <c r="X32" s="17"/>
      <c r="Y32" s="18"/>
      <c r="Z32" s="18"/>
      <c r="AA32" s="17"/>
      <c r="AB32" s="18"/>
    </row>
    <row r="33" customFormat="false" ht="23.85" hidden="false" customHeight="false" outlineLevel="0" collapsed="false">
      <c r="A33" s="11" t="n">
        <v>29</v>
      </c>
      <c r="B33" s="14" t="s">
        <v>185</v>
      </c>
      <c r="C33" s="11" t="s">
        <v>186</v>
      </c>
      <c r="D33" s="11" t="n">
        <v>13.9</v>
      </c>
      <c r="E33" s="11" t="n">
        <v>16</v>
      </c>
      <c r="F33" s="11" t="n">
        <v>16</v>
      </c>
      <c r="G33" s="13" t="n">
        <v>131762</v>
      </c>
      <c r="H33" s="11" t="n">
        <v>3</v>
      </c>
      <c r="I33" s="11" t="n">
        <v>0</v>
      </c>
      <c r="J33" s="11" t="n">
        <v>13</v>
      </c>
      <c r="K33" s="11" t="n">
        <v>0</v>
      </c>
      <c r="L33" s="11" t="n">
        <v>0</v>
      </c>
      <c r="M33" s="11" t="n">
        <v>1</v>
      </c>
      <c r="N33" s="11" t="n">
        <v>14</v>
      </c>
      <c r="O33" s="11" t="n">
        <v>2</v>
      </c>
      <c r="P33" s="11" t="n">
        <v>0</v>
      </c>
      <c r="Q33" s="11" t="n">
        <v>0</v>
      </c>
      <c r="R33" s="14" t="s">
        <v>187</v>
      </c>
      <c r="S33" s="15" t="n">
        <v>0.12</v>
      </c>
      <c r="T33" s="11" t="s">
        <v>188</v>
      </c>
      <c r="U33" s="14" t="s">
        <v>189</v>
      </c>
      <c r="V33" s="16" t="s">
        <v>56</v>
      </c>
      <c r="W33" s="17" t="s">
        <v>4</v>
      </c>
      <c r="X33" s="17"/>
      <c r="Y33" s="18"/>
      <c r="Z33" s="18"/>
      <c r="AA33" s="17"/>
      <c r="AB33" s="18"/>
    </row>
    <row r="34" customFormat="false" ht="35.05" hidden="false" customHeight="false" outlineLevel="0" collapsed="false">
      <c r="A34" s="11" t="n">
        <v>30</v>
      </c>
      <c r="B34" s="14" t="s">
        <v>190</v>
      </c>
      <c r="C34" s="11" t="s">
        <v>191</v>
      </c>
      <c r="D34" s="11" t="n">
        <v>13.8</v>
      </c>
      <c r="E34" s="11" t="n">
        <v>22</v>
      </c>
      <c r="F34" s="11" t="n">
        <v>13</v>
      </c>
      <c r="G34" s="13" t="n">
        <v>265010</v>
      </c>
      <c r="H34" s="11" t="n">
        <v>4</v>
      </c>
      <c r="I34" s="11" t="n">
        <v>10</v>
      </c>
      <c r="J34" s="11" t="n">
        <v>9</v>
      </c>
      <c r="K34" s="11" t="n">
        <v>3</v>
      </c>
      <c r="L34" s="11" t="n">
        <v>0</v>
      </c>
      <c r="M34" s="11" t="n">
        <v>0</v>
      </c>
      <c r="N34" s="11" t="n">
        <v>12</v>
      </c>
      <c r="O34" s="11" t="n">
        <v>8</v>
      </c>
      <c r="P34" s="11" t="n">
        <v>0</v>
      </c>
      <c r="Q34" s="11" t="n">
        <v>2</v>
      </c>
      <c r="R34" s="14" t="s">
        <v>192</v>
      </c>
      <c r="S34" s="15" t="n">
        <v>0.09</v>
      </c>
      <c r="T34" s="11" t="s">
        <v>80</v>
      </c>
      <c r="U34" s="14" t="s">
        <v>193</v>
      </c>
      <c r="V34" s="16" t="s">
        <v>56</v>
      </c>
      <c r="W34" s="17" t="s">
        <v>4</v>
      </c>
      <c r="X34" s="17"/>
      <c r="Y34" s="18"/>
      <c r="Z34" s="18"/>
      <c r="AA34" s="17"/>
      <c r="AB34" s="18"/>
    </row>
    <row r="35" customFormat="false" ht="35.05" hidden="false" customHeight="false" outlineLevel="0" collapsed="false">
      <c r="A35" s="11" t="n">
        <v>31</v>
      </c>
      <c r="B35" s="14" t="s">
        <v>194</v>
      </c>
      <c r="C35" s="11" t="s">
        <v>195</v>
      </c>
      <c r="D35" s="11" t="n">
        <v>11.3</v>
      </c>
      <c r="E35" s="11" t="n">
        <v>14</v>
      </c>
      <c r="F35" s="11" t="n">
        <v>11</v>
      </c>
      <c r="G35" s="13" t="n">
        <v>299693</v>
      </c>
      <c r="H35" s="11" t="n">
        <v>4</v>
      </c>
      <c r="I35" s="11" t="n">
        <v>6</v>
      </c>
      <c r="J35" s="11" t="n">
        <v>5</v>
      </c>
      <c r="K35" s="11" t="n">
        <v>0</v>
      </c>
      <c r="L35" s="11" t="n">
        <v>0</v>
      </c>
      <c r="M35" s="11" t="n">
        <v>1</v>
      </c>
      <c r="N35" s="11" t="n">
        <v>6</v>
      </c>
      <c r="O35" s="11" t="n">
        <v>5</v>
      </c>
      <c r="P35" s="11" t="n">
        <v>1</v>
      </c>
      <c r="Q35" s="11" t="n">
        <v>2</v>
      </c>
      <c r="R35" s="14" t="s">
        <v>196</v>
      </c>
      <c r="S35" s="15" t="n">
        <v>0.14</v>
      </c>
      <c r="T35" s="11" t="s">
        <v>197</v>
      </c>
      <c r="U35" s="14" t="s">
        <v>198</v>
      </c>
      <c r="V35" s="16" t="s">
        <v>56</v>
      </c>
      <c r="W35" s="17" t="s">
        <v>4</v>
      </c>
      <c r="X35" s="17"/>
      <c r="Y35" s="18"/>
      <c r="Z35" s="18"/>
      <c r="AA35" s="17"/>
      <c r="AB35" s="18"/>
    </row>
    <row r="36" customFormat="false" ht="35.05" hidden="false" customHeight="false" outlineLevel="0" collapsed="false">
      <c r="A36" s="11" t="n">
        <v>32</v>
      </c>
      <c r="B36" s="14" t="s">
        <v>199</v>
      </c>
      <c r="C36" s="11" t="s">
        <v>200</v>
      </c>
      <c r="D36" s="11" t="n">
        <v>11.1</v>
      </c>
      <c r="E36" s="11" t="n">
        <v>18</v>
      </c>
      <c r="F36" s="11" t="n">
        <v>12</v>
      </c>
      <c r="G36" s="13" t="n">
        <v>217118</v>
      </c>
      <c r="H36" s="11" t="n">
        <v>2</v>
      </c>
      <c r="I36" s="11" t="n">
        <v>5</v>
      </c>
      <c r="J36" s="11" t="n">
        <v>8</v>
      </c>
      <c r="K36" s="11" t="n">
        <v>1</v>
      </c>
      <c r="L36" s="11" t="n">
        <v>1</v>
      </c>
      <c r="M36" s="11" t="n">
        <v>2</v>
      </c>
      <c r="N36" s="11" t="n">
        <v>8</v>
      </c>
      <c r="O36" s="11" t="n">
        <v>8</v>
      </c>
      <c r="P36" s="11" t="n">
        <v>1</v>
      </c>
      <c r="Q36" s="11" t="n">
        <v>1</v>
      </c>
      <c r="R36" s="14" t="s">
        <v>201</v>
      </c>
      <c r="S36" s="15" t="n">
        <v>0.11</v>
      </c>
      <c r="T36" s="11" t="s">
        <v>202</v>
      </c>
      <c r="U36" s="14" t="s">
        <v>203</v>
      </c>
      <c r="V36" s="16" t="s">
        <v>56</v>
      </c>
      <c r="W36" s="17" t="s">
        <v>4</v>
      </c>
      <c r="X36" s="17"/>
      <c r="Y36" s="18"/>
      <c r="Z36" s="18"/>
      <c r="AA36" s="17"/>
      <c r="AB36" s="18"/>
    </row>
    <row r="37" customFormat="false" ht="35.05" hidden="false" customHeight="false" outlineLevel="0" collapsed="false">
      <c r="A37" s="11" t="n">
        <v>33</v>
      </c>
      <c r="B37" s="14" t="s">
        <v>204</v>
      </c>
      <c r="C37" s="11" t="s">
        <v>205</v>
      </c>
      <c r="D37" s="11" t="n">
        <v>10.7</v>
      </c>
      <c r="E37" s="11" t="n">
        <v>14</v>
      </c>
      <c r="F37" s="11" t="n">
        <v>13</v>
      </c>
      <c r="G37" s="13" t="n">
        <v>170278</v>
      </c>
      <c r="H37" s="11" t="n">
        <v>3</v>
      </c>
      <c r="I37" s="11" t="n">
        <v>0</v>
      </c>
      <c r="J37" s="11" t="n">
        <v>11</v>
      </c>
      <c r="K37" s="11" t="n">
        <v>0</v>
      </c>
      <c r="L37" s="11" t="n">
        <v>0</v>
      </c>
      <c r="M37" s="11" t="n">
        <v>0</v>
      </c>
      <c r="N37" s="11" t="n">
        <v>12</v>
      </c>
      <c r="O37" s="11" t="n">
        <v>2</v>
      </c>
      <c r="P37" s="11" t="n">
        <v>0</v>
      </c>
      <c r="Q37" s="11" t="n">
        <v>0</v>
      </c>
      <c r="R37" s="14" t="s">
        <v>206</v>
      </c>
      <c r="S37" s="15" t="n">
        <v>0.29</v>
      </c>
      <c r="T37" s="11" t="s">
        <v>207</v>
      </c>
      <c r="U37" s="14" t="s">
        <v>208</v>
      </c>
      <c r="V37" s="16" t="s">
        <v>56</v>
      </c>
      <c r="W37" s="17" t="s">
        <v>4</v>
      </c>
      <c r="X37" s="17"/>
      <c r="Y37" s="18"/>
      <c r="Z37" s="18"/>
      <c r="AA37" s="17"/>
      <c r="AB37" s="18"/>
    </row>
    <row r="38" customFormat="false" ht="35.05" hidden="false" customHeight="false" outlineLevel="0" collapsed="false">
      <c r="A38" s="11" t="n">
        <v>34</v>
      </c>
      <c r="B38" s="14" t="s">
        <v>209</v>
      </c>
      <c r="C38" s="11" t="s">
        <v>210</v>
      </c>
      <c r="D38" s="11" t="n">
        <v>10</v>
      </c>
      <c r="E38" s="11" t="n">
        <v>8</v>
      </c>
      <c r="F38" s="11" t="n">
        <v>8</v>
      </c>
      <c r="G38" s="13" t="n">
        <v>170381</v>
      </c>
      <c r="H38" s="11" t="n">
        <v>3</v>
      </c>
      <c r="I38" s="11" t="n">
        <v>1</v>
      </c>
      <c r="J38" s="11" t="n">
        <v>3</v>
      </c>
      <c r="K38" s="11" t="n">
        <v>1</v>
      </c>
      <c r="L38" s="11" t="n">
        <v>1</v>
      </c>
      <c r="M38" s="11" t="n">
        <v>1</v>
      </c>
      <c r="N38" s="11" t="n">
        <v>6</v>
      </c>
      <c r="O38" s="11" t="n">
        <v>2</v>
      </c>
      <c r="P38" s="11" t="n">
        <v>0</v>
      </c>
      <c r="Q38" s="11" t="n">
        <v>0</v>
      </c>
      <c r="R38" s="14" t="s">
        <v>211</v>
      </c>
      <c r="S38" s="15" t="n">
        <v>0.38</v>
      </c>
      <c r="T38" s="11" t="s">
        <v>164</v>
      </c>
      <c r="U38" s="14" t="s">
        <v>212</v>
      </c>
      <c r="V38" s="16" t="s">
        <v>56</v>
      </c>
      <c r="W38" s="17" t="s">
        <v>4</v>
      </c>
      <c r="X38" s="17"/>
      <c r="Y38" s="18"/>
      <c r="Z38" s="18"/>
      <c r="AA38" s="17"/>
      <c r="AB38" s="18"/>
    </row>
    <row r="39" customFormat="false" ht="46.25" hidden="false" customHeight="false" outlineLevel="0" collapsed="false">
      <c r="A39" s="11" t="n">
        <v>35</v>
      </c>
      <c r="B39" s="14" t="s">
        <v>213</v>
      </c>
      <c r="C39" s="11" t="s">
        <v>214</v>
      </c>
      <c r="D39" s="11" t="n">
        <v>9.5</v>
      </c>
      <c r="E39" s="11" t="n">
        <v>48</v>
      </c>
      <c r="F39" s="11" t="n">
        <v>10</v>
      </c>
      <c r="G39" s="13" t="n">
        <v>145096</v>
      </c>
      <c r="H39" s="11" t="n">
        <v>18</v>
      </c>
      <c r="I39" s="11" t="n">
        <v>4</v>
      </c>
      <c r="J39" s="11" t="n">
        <v>23</v>
      </c>
      <c r="K39" s="11" t="n">
        <v>0</v>
      </c>
      <c r="L39" s="11" t="n">
        <v>1</v>
      </c>
      <c r="M39" s="11" t="n">
        <v>3</v>
      </c>
      <c r="N39" s="11" t="n">
        <v>24</v>
      </c>
      <c r="O39" s="11" t="n">
        <v>8</v>
      </c>
      <c r="P39" s="11" t="n">
        <v>5</v>
      </c>
      <c r="Q39" s="11" t="n">
        <v>11</v>
      </c>
      <c r="R39" s="14" t="s">
        <v>215</v>
      </c>
      <c r="S39" s="15" t="n">
        <v>0.1</v>
      </c>
      <c r="T39" s="11" t="s">
        <v>216</v>
      </c>
      <c r="U39" s="14" t="s">
        <v>217</v>
      </c>
      <c r="V39" s="16" t="s">
        <v>56</v>
      </c>
      <c r="W39" s="17" t="s">
        <v>4</v>
      </c>
      <c r="X39" s="17"/>
      <c r="Y39" s="18"/>
      <c r="Z39" s="18"/>
      <c r="AA39" s="17"/>
      <c r="AB39" s="18"/>
    </row>
    <row r="40" customFormat="false" ht="35.05" hidden="false" customHeight="false" outlineLevel="0" collapsed="false">
      <c r="A40" s="11" t="n">
        <v>36</v>
      </c>
      <c r="B40" s="14" t="s">
        <v>218</v>
      </c>
      <c r="C40" s="11" t="s">
        <v>219</v>
      </c>
      <c r="D40" s="11" t="n">
        <v>9.2</v>
      </c>
      <c r="E40" s="11" t="n">
        <v>20</v>
      </c>
      <c r="F40" s="11" t="n">
        <v>9</v>
      </c>
      <c r="G40" s="13" t="n">
        <v>282801</v>
      </c>
      <c r="H40" s="11" t="n">
        <v>3</v>
      </c>
      <c r="I40" s="11" t="n">
        <v>4</v>
      </c>
      <c r="J40" s="11" t="n">
        <v>12</v>
      </c>
      <c r="K40" s="11" t="n">
        <v>2</v>
      </c>
      <c r="L40" s="11" t="n">
        <v>2</v>
      </c>
      <c r="M40" s="11" t="n">
        <v>0</v>
      </c>
      <c r="N40" s="11" t="n">
        <v>14</v>
      </c>
      <c r="O40" s="11" t="n">
        <v>5</v>
      </c>
      <c r="P40" s="11" t="n">
        <v>1</v>
      </c>
      <c r="Q40" s="11" t="n">
        <v>0</v>
      </c>
      <c r="R40" s="14" t="s">
        <v>220</v>
      </c>
      <c r="S40" s="15" t="n">
        <v>0.1</v>
      </c>
      <c r="T40" s="11" t="s">
        <v>65</v>
      </c>
      <c r="U40" s="14" t="s">
        <v>221</v>
      </c>
      <c r="V40" s="16" t="s">
        <v>56</v>
      </c>
      <c r="W40" s="17" t="s">
        <v>4</v>
      </c>
      <c r="X40" s="17"/>
      <c r="Y40" s="18"/>
      <c r="Z40" s="18"/>
      <c r="AA40" s="17"/>
      <c r="AB40" s="18"/>
    </row>
    <row r="41" customFormat="false" ht="35.05" hidden="false" customHeight="false" outlineLevel="0" collapsed="false">
      <c r="A41" s="11" t="n">
        <v>37</v>
      </c>
      <c r="B41" s="14" t="s">
        <v>222</v>
      </c>
      <c r="C41" s="11" t="s">
        <v>223</v>
      </c>
      <c r="D41" s="11" t="n">
        <v>8.7</v>
      </c>
      <c r="E41" s="11" t="n">
        <v>12</v>
      </c>
      <c r="F41" s="11" t="n">
        <v>9</v>
      </c>
      <c r="G41" s="13" t="n">
        <v>173276</v>
      </c>
      <c r="H41" s="11" t="n">
        <v>6</v>
      </c>
      <c r="I41" s="11" t="n">
        <v>1</v>
      </c>
      <c r="J41" s="11" t="n">
        <v>5</v>
      </c>
      <c r="K41" s="11" t="n">
        <v>0</v>
      </c>
      <c r="L41" s="11" t="n">
        <v>0</v>
      </c>
      <c r="M41" s="11" t="n">
        <v>0</v>
      </c>
      <c r="N41" s="11" t="n">
        <v>5</v>
      </c>
      <c r="O41" s="11" t="n">
        <v>7</v>
      </c>
      <c r="P41" s="11" t="n">
        <v>0</v>
      </c>
      <c r="Q41" s="11" t="n">
        <v>0</v>
      </c>
      <c r="R41" s="14" t="s">
        <v>224</v>
      </c>
      <c r="S41" s="15" t="n">
        <v>0.17</v>
      </c>
      <c r="T41" s="11" t="s">
        <v>127</v>
      </c>
      <c r="U41" s="14" t="s">
        <v>225</v>
      </c>
      <c r="V41" s="16" t="s">
        <v>56</v>
      </c>
      <c r="W41" s="17" t="s">
        <v>4</v>
      </c>
      <c r="X41" s="17"/>
      <c r="Y41" s="18"/>
      <c r="Z41" s="18"/>
      <c r="AA41" s="17"/>
      <c r="AB41" s="18"/>
    </row>
    <row r="42" customFormat="false" ht="46.25" hidden="false" customHeight="false" outlineLevel="0" collapsed="false">
      <c r="A42" s="11" t="n">
        <v>38</v>
      </c>
      <c r="B42" s="14" t="s">
        <v>226</v>
      </c>
      <c r="C42" s="11" t="s">
        <v>227</v>
      </c>
      <c r="D42" s="11" t="n">
        <v>8.5</v>
      </c>
      <c r="E42" s="11" t="n">
        <v>14</v>
      </c>
      <c r="F42" s="11" t="n">
        <v>9</v>
      </c>
      <c r="G42" s="13" t="n">
        <v>86790</v>
      </c>
      <c r="H42" s="11" t="n">
        <v>2</v>
      </c>
      <c r="I42" s="11" t="n">
        <v>2</v>
      </c>
      <c r="J42" s="11" t="n">
        <v>10</v>
      </c>
      <c r="K42" s="11" t="n">
        <v>0</v>
      </c>
      <c r="L42" s="11" t="n">
        <v>0</v>
      </c>
      <c r="M42" s="11" t="n">
        <v>2</v>
      </c>
      <c r="N42" s="11" t="n">
        <v>12</v>
      </c>
      <c r="O42" s="11" t="n">
        <v>0</v>
      </c>
      <c r="P42" s="11" t="n">
        <v>2</v>
      </c>
      <c r="Q42" s="11" t="n">
        <v>0</v>
      </c>
      <c r="R42" s="14" t="s">
        <v>228</v>
      </c>
      <c r="S42" s="15" t="n">
        <v>0.21</v>
      </c>
      <c r="T42" s="11" t="s">
        <v>142</v>
      </c>
      <c r="U42" s="14" t="s">
        <v>229</v>
      </c>
      <c r="V42" s="16" t="s">
        <v>56</v>
      </c>
      <c r="W42" s="17" t="s">
        <v>4</v>
      </c>
      <c r="X42" s="17"/>
      <c r="Y42" s="18"/>
      <c r="Z42" s="18"/>
      <c r="AA42" s="17"/>
      <c r="AB42" s="18"/>
    </row>
    <row r="43" customFormat="false" ht="46.25" hidden="false" customHeight="false" outlineLevel="0" collapsed="false">
      <c r="A43" s="11" t="n">
        <v>39</v>
      </c>
      <c r="B43" s="14" t="s">
        <v>230</v>
      </c>
      <c r="C43" s="11" t="s">
        <v>231</v>
      </c>
      <c r="D43" s="11" t="n">
        <v>8</v>
      </c>
      <c r="E43" s="11" t="n">
        <v>16</v>
      </c>
      <c r="F43" s="11" t="n">
        <v>9</v>
      </c>
      <c r="G43" s="13" t="n">
        <v>165295</v>
      </c>
      <c r="H43" s="11" t="n">
        <v>2</v>
      </c>
      <c r="I43" s="11" t="n">
        <v>3</v>
      </c>
      <c r="J43" s="11" t="n">
        <v>9</v>
      </c>
      <c r="K43" s="11" t="n">
        <v>0</v>
      </c>
      <c r="L43" s="11" t="n">
        <v>0</v>
      </c>
      <c r="M43" s="11" t="n">
        <v>3</v>
      </c>
      <c r="N43" s="11" t="n">
        <v>8</v>
      </c>
      <c r="O43" s="11" t="n">
        <v>7</v>
      </c>
      <c r="P43" s="11" t="n">
        <v>1</v>
      </c>
      <c r="Q43" s="11" t="n">
        <v>0</v>
      </c>
      <c r="R43" s="14" t="s">
        <v>232</v>
      </c>
      <c r="S43" s="15" t="n">
        <v>0.12</v>
      </c>
      <c r="T43" s="11" t="s">
        <v>164</v>
      </c>
      <c r="U43" s="14" t="s">
        <v>71</v>
      </c>
      <c r="V43" s="16" t="s">
        <v>56</v>
      </c>
      <c r="W43" s="17" t="s">
        <v>4</v>
      </c>
      <c r="X43" s="17"/>
      <c r="Y43" s="18"/>
      <c r="Z43" s="18"/>
      <c r="AA43" s="17"/>
      <c r="AB43" s="18"/>
    </row>
    <row r="44" customFormat="false" ht="35.05" hidden="false" customHeight="false" outlineLevel="0" collapsed="false">
      <c r="A44" s="11" t="n">
        <v>40</v>
      </c>
      <c r="B44" s="14" t="s">
        <v>233</v>
      </c>
      <c r="C44" s="11" t="s">
        <v>234</v>
      </c>
      <c r="D44" s="11" t="n">
        <v>7.9</v>
      </c>
      <c r="E44" s="11" t="n">
        <v>7</v>
      </c>
      <c r="F44" s="11" t="n">
        <v>7</v>
      </c>
      <c r="G44" s="13" t="n">
        <v>38240</v>
      </c>
      <c r="H44" s="11" t="n">
        <v>3</v>
      </c>
      <c r="I44" s="11" t="n">
        <v>0</v>
      </c>
      <c r="J44" s="11" t="n">
        <v>6</v>
      </c>
      <c r="K44" s="11" t="n">
        <v>0</v>
      </c>
      <c r="L44" s="11" t="n">
        <v>0</v>
      </c>
      <c r="M44" s="11" t="n">
        <v>0</v>
      </c>
      <c r="N44" s="11" t="n">
        <v>7</v>
      </c>
      <c r="O44" s="11" t="n">
        <v>0</v>
      </c>
      <c r="P44" s="11" t="n">
        <v>0</v>
      </c>
      <c r="Q44" s="11" t="n">
        <v>0</v>
      </c>
      <c r="R44" s="14" t="s">
        <v>235</v>
      </c>
      <c r="S44" s="15" t="n">
        <v>0.29</v>
      </c>
      <c r="T44" s="11" t="s">
        <v>236</v>
      </c>
      <c r="U44" s="14" t="s">
        <v>237</v>
      </c>
      <c r="V44" s="16" t="s">
        <v>56</v>
      </c>
      <c r="W44" s="17" t="s">
        <v>4</v>
      </c>
      <c r="X44" s="17"/>
      <c r="Y44" s="18"/>
      <c r="Z44" s="18"/>
      <c r="AA44" s="17"/>
      <c r="AB44" s="18"/>
    </row>
    <row r="45" customFormat="false" ht="35.05" hidden="false" customHeight="false" outlineLevel="0" collapsed="false">
      <c r="A45" s="11" t="n">
        <v>41</v>
      </c>
      <c r="B45" s="14" t="s">
        <v>238</v>
      </c>
      <c r="C45" s="11" t="s">
        <v>239</v>
      </c>
      <c r="D45" s="11" t="n">
        <v>7.8</v>
      </c>
      <c r="E45" s="11" t="n">
        <v>11</v>
      </c>
      <c r="F45" s="11" t="n">
        <v>8</v>
      </c>
      <c r="G45" s="13" t="n">
        <v>264047</v>
      </c>
      <c r="H45" s="11" t="n">
        <v>4</v>
      </c>
      <c r="I45" s="11" t="n">
        <v>3</v>
      </c>
      <c r="J45" s="11" t="n">
        <v>3</v>
      </c>
      <c r="K45" s="11" t="n">
        <v>1</v>
      </c>
      <c r="L45" s="11" t="n">
        <v>0</v>
      </c>
      <c r="M45" s="11" t="n">
        <v>0</v>
      </c>
      <c r="N45" s="11" t="n">
        <v>3</v>
      </c>
      <c r="O45" s="11" t="n">
        <v>6</v>
      </c>
      <c r="P45" s="11" t="n">
        <v>2</v>
      </c>
      <c r="Q45" s="11" t="n">
        <v>0</v>
      </c>
      <c r="R45" s="14" t="s">
        <v>240</v>
      </c>
      <c r="S45" s="15" t="n">
        <v>0.27</v>
      </c>
      <c r="T45" s="11" t="s">
        <v>241</v>
      </c>
      <c r="U45" s="14" t="s">
        <v>242</v>
      </c>
      <c r="V45" s="16" t="s">
        <v>56</v>
      </c>
      <c r="W45" s="17" t="s">
        <v>4</v>
      </c>
      <c r="X45" s="17"/>
      <c r="Y45" s="18"/>
      <c r="Z45" s="18"/>
      <c r="AA45" s="17"/>
      <c r="AB45" s="18"/>
    </row>
    <row r="46" customFormat="false" ht="46.25" hidden="false" customHeight="false" outlineLevel="0" collapsed="false">
      <c r="A46" s="11" t="n">
        <v>42</v>
      </c>
      <c r="B46" s="14" t="s">
        <v>243</v>
      </c>
      <c r="C46" s="11" t="s">
        <v>244</v>
      </c>
      <c r="D46" s="11" t="n">
        <v>7.8</v>
      </c>
      <c r="E46" s="11" t="n">
        <v>9</v>
      </c>
      <c r="F46" s="11" t="n">
        <v>9</v>
      </c>
      <c r="G46" s="13" t="n">
        <v>209037</v>
      </c>
      <c r="H46" s="11" t="n">
        <v>2</v>
      </c>
      <c r="I46" s="11" t="n">
        <v>3</v>
      </c>
      <c r="J46" s="11" t="n">
        <v>4</v>
      </c>
      <c r="K46" s="11" t="n">
        <v>0</v>
      </c>
      <c r="L46" s="11" t="n">
        <v>0</v>
      </c>
      <c r="M46" s="11" t="n">
        <v>0</v>
      </c>
      <c r="N46" s="11" t="n">
        <v>5</v>
      </c>
      <c r="O46" s="11" t="n">
        <v>4</v>
      </c>
      <c r="P46" s="11" t="n">
        <v>0</v>
      </c>
      <c r="Q46" s="11" t="n">
        <v>0</v>
      </c>
      <c r="R46" s="14" t="s">
        <v>245</v>
      </c>
      <c r="S46" s="15" t="n">
        <v>0.11</v>
      </c>
      <c r="T46" s="11" t="s">
        <v>95</v>
      </c>
      <c r="U46" s="14" t="s">
        <v>246</v>
      </c>
      <c r="V46" s="16" t="s">
        <v>56</v>
      </c>
      <c r="W46" s="17" t="s">
        <v>4</v>
      </c>
      <c r="X46" s="17"/>
      <c r="Y46" s="18"/>
      <c r="Z46" s="18"/>
      <c r="AA46" s="17"/>
      <c r="AB46" s="18"/>
    </row>
    <row r="47" customFormat="false" ht="35.05" hidden="false" customHeight="false" outlineLevel="0" collapsed="false">
      <c r="A47" s="11" t="n">
        <v>43</v>
      </c>
      <c r="B47" s="14" t="s">
        <v>247</v>
      </c>
      <c r="C47" s="11" t="s">
        <v>248</v>
      </c>
      <c r="D47" s="11" t="n">
        <v>7.7</v>
      </c>
      <c r="E47" s="11" t="n">
        <v>10</v>
      </c>
      <c r="F47" s="11" t="n">
        <v>10</v>
      </c>
      <c r="G47" s="13" t="n">
        <v>141904</v>
      </c>
      <c r="H47" s="11" t="n">
        <v>0</v>
      </c>
      <c r="I47" s="11" t="n">
        <v>4</v>
      </c>
      <c r="J47" s="11" t="n">
        <v>6</v>
      </c>
      <c r="K47" s="11" t="n">
        <v>0</v>
      </c>
      <c r="L47" s="11" t="n">
        <v>0</v>
      </c>
      <c r="M47" s="11" t="n">
        <v>0</v>
      </c>
      <c r="N47" s="11" t="n">
        <v>8</v>
      </c>
      <c r="O47" s="11" t="n">
        <v>2</v>
      </c>
      <c r="P47" s="11" t="n">
        <v>0</v>
      </c>
      <c r="Q47" s="11" t="n">
        <v>0</v>
      </c>
      <c r="R47" s="14" t="s">
        <v>249</v>
      </c>
      <c r="S47" s="15" t="n">
        <v>0.1</v>
      </c>
      <c r="T47" s="11" t="s">
        <v>155</v>
      </c>
      <c r="U47" s="14" t="s">
        <v>250</v>
      </c>
      <c r="V47" s="16" t="s">
        <v>56</v>
      </c>
      <c r="W47" s="17" t="s">
        <v>4</v>
      </c>
      <c r="X47" s="17"/>
      <c r="Y47" s="18"/>
      <c r="Z47" s="18"/>
      <c r="AA47" s="17"/>
      <c r="AB47" s="18"/>
    </row>
    <row r="48" customFormat="false" ht="35.05" hidden="false" customHeight="false" outlineLevel="0" collapsed="false">
      <c r="A48" s="11" t="n">
        <v>44</v>
      </c>
      <c r="B48" s="14" t="s">
        <v>251</v>
      </c>
      <c r="C48" s="11" t="s">
        <v>252</v>
      </c>
      <c r="D48" s="11" t="n">
        <v>7</v>
      </c>
      <c r="E48" s="11" t="n">
        <v>8</v>
      </c>
      <c r="F48" s="11" t="n">
        <v>8</v>
      </c>
      <c r="G48" s="13" t="n">
        <v>201040</v>
      </c>
      <c r="H48" s="11" t="n">
        <v>1</v>
      </c>
      <c r="I48" s="11" t="n">
        <v>2</v>
      </c>
      <c r="J48" s="11" t="n">
        <v>4</v>
      </c>
      <c r="K48" s="11" t="n">
        <v>0</v>
      </c>
      <c r="L48" s="11" t="n">
        <v>1</v>
      </c>
      <c r="M48" s="11" t="n">
        <v>0</v>
      </c>
      <c r="N48" s="11" t="n">
        <v>4</v>
      </c>
      <c r="O48" s="11" t="n">
        <v>4</v>
      </c>
      <c r="P48" s="11" t="n">
        <v>0</v>
      </c>
      <c r="Q48" s="11" t="n">
        <v>0</v>
      </c>
      <c r="R48" s="14" t="s">
        <v>253</v>
      </c>
      <c r="S48" s="15" t="n">
        <v>0.25</v>
      </c>
      <c r="T48" s="11" t="s">
        <v>241</v>
      </c>
      <c r="U48" s="14" t="s">
        <v>254</v>
      </c>
      <c r="V48" s="16" t="s">
        <v>56</v>
      </c>
      <c r="W48" s="17" t="s">
        <v>4</v>
      </c>
      <c r="X48" s="17"/>
      <c r="Y48" s="18"/>
      <c r="Z48" s="18"/>
      <c r="AA48" s="17"/>
      <c r="AB48" s="18"/>
    </row>
    <row r="49" customFormat="false" ht="23.85" hidden="false" customHeight="false" outlineLevel="0" collapsed="false">
      <c r="A49" s="11" t="n">
        <v>45</v>
      </c>
      <c r="B49" s="14" t="s">
        <v>255</v>
      </c>
      <c r="C49" s="11" t="s">
        <v>256</v>
      </c>
      <c r="D49" s="11" t="n">
        <v>7</v>
      </c>
      <c r="E49" s="11" t="n">
        <v>8</v>
      </c>
      <c r="F49" s="11" t="n">
        <v>8</v>
      </c>
      <c r="G49" s="13" t="n">
        <v>210223</v>
      </c>
      <c r="H49" s="11" t="n">
        <v>2</v>
      </c>
      <c r="I49" s="11" t="n">
        <v>2</v>
      </c>
      <c r="J49" s="11" t="n">
        <v>4</v>
      </c>
      <c r="K49" s="11" t="n">
        <v>0</v>
      </c>
      <c r="L49" s="11" t="n">
        <v>0</v>
      </c>
      <c r="M49" s="11" t="n">
        <v>0</v>
      </c>
      <c r="N49" s="11" t="n">
        <v>3</v>
      </c>
      <c r="O49" s="11" t="n">
        <v>5</v>
      </c>
      <c r="P49" s="11" t="n">
        <v>0</v>
      </c>
      <c r="Q49" s="11" t="n">
        <v>0</v>
      </c>
      <c r="R49" s="14" t="s">
        <v>257</v>
      </c>
      <c r="S49" s="15" t="n">
        <v>0.12</v>
      </c>
      <c r="T49" s="11" t="s">
        <v>258</v>
      </c>
      <c r="U49" s="14" t="s">
        <v>259</v>
      </c>
      <c r="V49" s="16" t="s">
        <v>56</v>
      </c>
      <c r="W49" s="17" t="s">
        <v>4</v>
      </c>
      <c r="X49" s="17"/>
      <c r="Y49" s="18"/>
      <c r="Z49" s="18"/>
      <c r="AA49" s="17"/>
      <c r="AB49" s="18"/>
    </row>
    <row r="50" customFormat="false" ht="35.05" hidden="false" customHeight="false" outlineLevel="0" collapsed="false">
      <c r="A50" s="11" t="n">
        <v>46</v>
      </c>
      <c r="B50" s="14" t="s">
        <v>260</v>
      </c>
      <c r="C50" s="11" t="s">
        <v>261</v>
      </c>
      <c r="D50" s="11" t="n">
        <v>6.4</v>
      </c>
      <c r="E50" s="11" t="n">
        <v>9</v>
      </c>
      <c r="F50" s="11" t="n">
        <v>8</v>
      </c>
      <c r="G50" s="13" t="n">
        <v>166205</v>
      </c>
      <c r="H50" s="11" t="n">
        <v>1</v>
      </c>
      <c r="I50" s="11" t="n">
        <v>2</v>
      </c>
      <c r="J50" s="11" t="n">
        <v>6</v>
      </c>
      <c r="K50" s="11" t="n">
        <v>0</v>
      </c>
      <c r="L50" s="11" t="n">
        <v>0</v>
      </c>
      <c r="M50" s="11" t="n">
        <v>0</v>
      </c>
      <c r="N50" s="11" t="n">
        <v>6</v>
      </c>
      <c r="O50" s="11" t="n">
        <v>2</v>
      </c>
      <c r="P50" s="11" t="n">
        <v>0</v>
      </c>
      <c r="Q50" s="11" t="n">
        <v>1</v>
      </c>
      <c r="R50" s="14" t="s">
        <v>262</v>
      </c>
      <c r="S50" s="15" t="n">
        <v>0.33</v>
      </c>
      <c r="T50" s="11" t="s">
        <v>263</v>
      </c>
      <c r="U50" s="14" t="s">
        <v>264</v>
      </c>
      <c r="V50" s="16" t="s">
        <v>56</v>
      </c>
      <c r="W50" s="17" t="s">
        <v>4</v>
      </c>
      <c r="X50" s="17"/>
      <c r="Y50" s="18"/>
      <c r="Z50" s="18"/>
      <c r="AA50" s="17"/>
      <c r="AB50" s="18"/>
    </row>
    <row r="51" customFormat="false" ht="57.45" hidden="false" customHeight="false" outlineLevel="0" collapsed="false">
      <c r="A51" s="11" t="n">
        <v>47</v>
      </c>
      <c r="B51" s="14" t="s">
        <v>265</v>
      </c>
      <c r="C51" s="11" t="s">
        <v>266</v>
      </c>
      <c r="D51" s="11" t="n">
        <v>5.9</v>
      </c>
      <c r="E51" s="11" t="n">
        <v>8</v>
      </c>
      <c r="F51" s="11" t="n">
        <v>7</v>
      </c>
      <c r="G51" s="13" t="n">
        <v>78908</v>
      </c>
      <c r="H51" s="11" t="n">
        <v>0</v>
      </c>
      <c r="I51" s="11" t="n">
        <v>8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7</v>
      </c>
      <c r="O51" s="11" t="n">
        <v>0</v>
      </c>
      <c r="P51" s="11" t="n">
        <v>0</v>
      </c>
      <c r="Q51" s="11" t="n">
        <v>1</v>
      </c>
      <c r="R51" s="14" t="s">
        <v>267</v>
      </c>
      <c r="S51" s="15" t="n">
        <v>0.38</v>
      </c>
      <c r="T51" s="11" t="s">
        <v>132</v>
      </c>
      <c r="U51" s="14" t="s">
        <v>268</v>
      </c>
      <c r="V51" s="16" t="s">
        <v>56</v>
      </c>
      <c r="W51" s="17" t="s">
        <v>4</v>
      </c>
      <c r="X51" s="17"/>
      <c r="Y51" s="18"/>
      <c r="Z51" s="18"/>
      <c r="AA51" s="17"/>
      <c r="AB51" s="18"/>
    </row>
    <row r="52" customFormat="false" ht="35.05" hidden="false" customHeight="false" outlineLevel="0" collapsed="false">
      <c r="A52" s="11" t="n">
        <v>48</v>
      </c>
      <c r="B52" s="14" t="s">
        <v>269</v>
      </c>
      <c r="C52" s="11" t="s">
        <v>270</v>
      </c>
      <c r="D52" s="11" t="n">
        <v>5.5</v>
      </c>
      <c r="E52" s="11" t="n">
        <v>3</v>
      </c>
      <c r="F52" s="11" t="n">
        <v>3</v>
      </c>
      <c r="G52" s="13" t="n">
        <v>46872</v>
      </c>
      <c r="H52" s="11" t="n">
        <v>2</v>
      </c>
      <c r="I52" s="11" t="n">
        <v>2</v>
      </c>
      <c r="J52" s="11" t="n">
        <v>2</v>
      </c>
      <c r="K52" s="11" t="n">
        <v>0</v>
      </c>
      <c r="L52" s="11" t="n">
        <v>0</v>
      </c>
      <c r="M52" s="11" t="n">
        <v>0</v>
      </c>
      <c r="N52" s="11" t="n">
        <v>2</v>
      </c>
      <c r="O52" s="11" t="n">
        <v>1</v>
      </c>
      <c r="P52" s="11" t="n">
        <v>0</v>
      </c>
      <c r="Q52" s="11" t="n">
        <v>0</v>
      </c>
      <c r="R52" s="14" t="s">
        <v>271</v>
      </c>
      <c r="S52" s="15" t="n">
        <v>0.33</v>
      </c>
      <c r="T52" s="11" t="s">
        <v>272</v>
      </c>
      <c r="U52" s="14" t="s">
        <v>273</v>
      </c>
      <c r="V52" s="16" t="s">
        <v>56</v>
      </c>
      <c r="W52" s="17" t="s">
        <v>4</v>
      </c>
      <c r="X52" s="17"/>
      <c r="Y52" s="18"/>
      <c r="Z52" s="18"/>
      <c r="AA52" s="17"/>
      <c r="AB52" s="18"/>
    </row>
    <row r="53" customFormat="false" ht="46.25" hidden="false" customHeight="false" outlineLevel="0" collapsed="false">
      <c r="A53" s="11" t="n">
        <v>49</v>
      </c>
      <c r="B53" s="14" t="s">
        <v>274</v>
      </c>
      <c r="C53" s="11" t="s">
        <v>275</v>
      </c>
      <c r="D53" s="11" t="n">
        <v>5.5</v>
      </c>
      <c r="E53" s="11" t="n">
        <v>8</v>
      </c>
      <c r="F53" s="11" t="n">
        <v>5</v>
      </c>
      <c r="G53" s="13" t="n">
        <v>43100</v>
      </c>
      <c r="H53" s="11" t="n">
        <v>3</v>
      </c>
      <c r="I53" s="11" t="n">
        <v>5</v>
      </c>
      <c r="J53" s="11" t="n">
        <v>0</v>
      </c>
      <c r="K53" s="11" t="n">
        <v>0</v>
      </c>
      <c r="L53" s="11" t="n">
        <v>0</v>
      </c>
      <c r="M53" s="11" t="n">
        <v>1</v>
      </c>
      <c r="N53" s="11" t="n">
        <v>6</v>
      </c>
      <c r="O53" s="11" t="n">
        <v>2</v>
      </c>
      <c r="P53" s="11" t="n">
        <v>0</v>
      </c>
      <c r="Q53" s="11" t="n">
        <v>0</v>
      </c>
      <c r="R53" s="14" t="s">
        <v>276</v>
      </c>
      <c r="S53" s="15" t="n">
        <v>0.12</v>
      </c>
      <c r="T53" s="11" t="s">
        <v>277</v>
      </c>
      <c r="U53" s="14" t="s">
        <v>278</v>
      </c>
      <c r="V53" s="16" t="s">
        <v>56</v>
      </c>
      <c r="W53" s="17" t="s">
        <v>4</v>
      </c>
      <c r="X53" s="17"/>
      <c r="Y53" s="18"/>
      <c r="Z53" s="18"/>
      <c r="AA53" s="17"/>
      <c r="AB53" s="18"/>
    </row>
    <row r="54" customFormat="false" ht="35.05" hidden="false" customHeight="false" outlineLevel="0" collapsed="false">
      <c r="A54" s="11" t="n">
        <v>50</v>
      </c>
      <c r="B54" s="14" t="s">
        <v>279</v>
      </c>
      <c r="C54" s="11" t="s">
        <v>280</v>
      </c>
      <c r="D54" s="11" t="n">
        <v>5</v>
      </c>
      <c r="E54" s="11" t="n">
        <v>9</v>
      </c>
      <c r="F54" s="11" t="n">
        <v>7</v>
      </c>
      <c r="G54" s="13" t="n">
        <v>226444</v>
      </c>
      <c r="H54" s="11" t="n">
        <v>0</v>
      </c>
      <c r="I54" s="11" t="n">
        <v>0</v>
      </c>
      <c r="J54" s="11" t="n">
        <v>9</v>
      </c>
      <c r="K54" s="11" t="n">
        <v>0</v>
      </c>
      <c r="L54" s="11" t="n">
        <v>0</v>
      </c>
      <c r="M54" s="11" t="n">
        <v>0</v>
      </c>
      <c r="N54" s="11" t="n">
        <v>4</v>
      </c>
      <c r="O54" s="11" t="n">
        <v>4</v>
      </c>
      <c r="P54" s="11" t="n">
        <v>0</v>
      </c>
      <c r="Q54" s="11" t="n">
        <v>1</v>
      </c>
      <c r="R54" s="14" t="s">
        <v>281</v>
      </c>
      <c r="S54" s="15" t="n">
        <v>0.11</v>
      </c>
      <c r="T54" s="11" t="s">
        <v>282</v>
      </c>
      <c r="U54" s="14" t="s">
        <v>283</v>
      </c>
      <c r="V54" s="16" t="s">
        <v>56</v>
      </c>
      <c r="W54" s="17" t="s">
        <v>4</v>
      </c>
      <c r="X54" s="17"/>
      <c r="Y54" s="18"/>
      <c r="Z54" s="18"/>
      <c r="AA54" s="17"/>
      <c r="AB54" s="18"/>
    </row>
    <row r="55" customFormat="false" ht="23.85" hidden="false" customHeight="false" outlineLevel="0" collapsed="false">
      <c r="A55" s="11" t="n">
        <v>51</v>
      </c>
      <c r="B55" s="14" t="s">
        <v>284</v>
      </c>
      <c r="C55" s="11" t="s">
        <v>285</v>
      </c>
      <c r="D55" s="11" t="n">
        <v>5</v>
      </c>
      <c r="E55" s="11" t="n">
        <v>7</v>
      </c>
      <c r="F55" s="11" t="n">
        <v>7</v>
      </c>
      <c r="G55" s="13" t="n">
        <v>153212</v>
      </c>
      <c r="H55" s="11" t="n">
        <v>0</v>
      </c>
      <c r="I55" s="11" t="n">
        <v>0</v>
      </c>
      <c r="J55" s="11" t="n">
        <v>7</v>
      </c>
      <c r="K55" s="11" t="n">
        <v>0</v>
      </c>
      <c r="L55" s="11" t="n">
        <v>0</v>
      </c>
      <c r="M55" s="11" t="n">
        <v>0</v>
      </c>
      <c r="N55" s="11" t="n">
        <v>5</v>
      </c>
      <c r="O55" s="11" t="n">
        <v>2</v>
      </c>
      <c r="P55" s="11" t="n">
        <v>0</v>
      </c>
      <c r="Q55" s="11" t="n">
        <v>0</v>
      </c>
      <c r="R55" s="14" t="s">
        <v>286</v>
      </c>
      <c r="S55" s="15" t="n">
        <v>0.57</v>
      </c>
      <c r="T55" s="11" t="s">
        <v>287</v>
      </c>
      <c r="U55" s="14" t="s">
        <v>288</v>
      </c>
      <c r="V55" s="16" t="s">
        <v>56</v>
      </c>
      <c r="W55" s="17" t="s">
        <v>4</v>
      </c>
      <c r="X55" s="17"/>
      <c r="Y55" s="18"/>
      <c r="Z55" s="18"/>
      <c r="AA55" s="17"/>
      <c r="AB55" s="18"/>
    </row>
    <row r="56" customFormat="false" ht="23.85" hidden="false" customHeight="false" outlineLevel="0" collapsed="false">
      <c r="A56" s="11" t="n">
        <v>52</v>
      </c>
      <c r="B56" s="14" t="s">
        <v>289</v>
      </c>
      <c r="C56" s="11" t="s">
        <v>290</v>
      </c>
      <c r="D56" s="11" t="n">
        <v>4.8</v>
      </c>
      <c r="E56" s="11" t="n">
        <v>4</v>
      </c>
      <c r="F56" s="11" t="n">
        <v>4</v>
      </c>
      <c r="G56" s="13" t="n">
        <v>48358</v>
      </c>
      <c r="H56" s="11" t="n">
        <v>4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4</v>
      </c>
      <c r="O56" s="11" t="n">
        <v>0</v>
      </c>
      <c r="P56" s="11" t="n">
        <v>0</v>
      </c>
      <c r="Q56" s="11" t="n">
        <v>0</v>
      </c>
      <c r="R56" s="14" t="s">
        <v>291</v>
      </c>
      <c r="S56" s="15" t="n">
        <v>0.25</v>
      </c>
      <c r="T56" s="11" t="s">
        <v>292</v>
      </c>
      <c r="U56" s="14" t="s">
        <v>293</v>
      </c>
      <c r="V56" s="16" t="s">
        <v>56</v>
      </c>
      <c r="W56" s="17" t="s">
        <v>4</v>
      </c>
      <c r="X56" s="17"/>
      <c r="Y56" s="18"/>
      <c r="Z56" s="18"/>
      <c r="AA56" s="17"/>
      <c r="AB56" s="18"/>
    </row>
    <row r="57" customFormat="false" ht="46.25" hidden="false" customHeight="false" outlineLevel="0" collapsed="false">
      <c r="A57" s="11" t="n">
        <v>53</v>
      </c>
      <c r="B57" s="14" t="s">
        <v>294</v>
      </c>
      <c r="C57" s="11" t="s">
        <v>295</v>
      </c>
      <c r="D57" s="11" t="n">
        <v>4.8</v>
      </c>
      <c r="E57" s="11" t="n">
        <v>5</v>
      </c>
      <c r="F57" s="11" t="n">
        <v>3</v>
      </c>
      <c r="G57" s="13" t="n">
        <v>55901</v>
      </c>
      <c r="H57" s="11" t="n">
        <v>3</v>
      </c>
      <c r="I57" s="11" t="n">
        <v>0</v>
      </c>
      <c r="J57" s="11" t="n">
        <v>2</v>
      </c>
      <c r="K57" s="11" t="n">
        <v>0</v>
      </c>
      <c r="L57" s="11" t="n">
        <v>0</v>
      </c>
      <c r="M57" s="11" t="n">
        <v>3</v>
      </c>
      <c r="N57" s="11" t="n">
        <v>2</v>
      </c>
      <c r="O57" s="11" t="n">
        <v>3</v>
      </c>
      <c r="P57" s="11" t="n">
        <v>0</v>
      </c>
      <c r="Q57" s="11" t="n">
        <v>0</v>
      </c>
      <c r="R57" s="14" t="s">
        <v>296</v>
      </c>
      <c r="S57" s="15" t="n">
        <v>0.4</v>
      </c>
      <c r="T57" s="11" t="s">
        <v>297</v>
      </c>
      <c r="U57" s="14" t="s">
        <v>298</v>
      </c>
      <c r="V57" s="16" t="s">
        <v>56</v>
      </c>
      <c r="W57" s="17" t="s">
        <v>4</v>
      </c>
      <c r="X57" s="17"/>
      <c r="Y57" s="18"/>
      <c r="Z57" s="18"/>
      <c r="AA57" s="17"/>
      <c r="AB57" s="18"/>
    </row>
    <row r="58" customFormat="false" ht="46.25" hidden="false" customHeight="false" outlineLevel="0" collapsed="false">
      <c r="A58" s="11" t="n">
        <v>54</v>
      </c>
      <c r="B58" s="14" t="s">
        <v>299</v>
      </c>
      <c r="C58" s="11" t="s">
        <v>300</v>
      </c>
      <c r="D58" s="11" t="n">
        <v>4.6</v>
      </c>
      <c r="E58" s="11" t="n">
        <v>3</v>
      </c>
      <c r="F58" s="11" t="n">
        <v>3</v>
      </c>
      <c r="G58" s="13" t="n">
        <v>95707</v>
      </c>
      <c r="H58" s="11" t="n">
        <v>1</v>
      </c>
      <c r="I58" s="11" t="n">
        <v>0</v>
      </c>
      <c r="J58" s="11" t="n">
        <v>0</v>
      </c>
      <c r="K58" s="11" t="n">
        <v>0</v>
      </c>
      <c r="L58" s="11" t="n">
        <v>2</v>
      </c>
      <c r="M58" s="11" t="n">
        <v>1</v>
      </c>
      <c r="N58" s="11" t="n">
        <v>0</v>
      </c>
      <c r="O58" s="11" t="n">
        <v>3</v>
      </c>
      <c r="P58" s="11" t="n">
        <v>0</v>
      </c>
      <c r="Q58" s="11" t="n">
        <v>0</v>
      </c>
      <c r="R58" s="14" t="s">
        <v>301</v>
      </c>
      <c r="S58" s="15" t="n">
        <v>0.33</v>
      </c>
      <c r="T58" s="11" t="s">
        <v>188</v>
      </c>
      <c r="U58" s="14" t="s">
        <v>302</v>
      </c>
      <c r="V58" s="16" t="s">
        <v>56</v>
      </c>
      <c r="W58" s="17" t="s">
        <v>4</v>
      </c>
      <c r="X58" s="17"/>
      <c r="Y58" s="18"/>
      <c r="Z58" s="18"/>
      <c r="AA58" s="17"/>
      <c r="AB58" s="18"/>
    </row>
    <row r="59" customFormat="false" ht="35.05" hidden="false" customHeight="false" outlineLevel="0" collapsed="false">
      <c r="A59" s="11" t="n">
        <v>55</v>
      </c>
      <c r="B59" s="14" t="s">
        <v>303</v>
      </c>
      <c r="C59" s="11" t="s">
        <v>304</v>
      </c>
      <c r="D59" s="11" t="n">
        <v>4.4</v>
      </c>
      <c r="E59" s="11" t="n">
        <v>2</v>
      </c>
      <c r="F59" s="11" t="n">
        <v>2</v>
      </c>
      <c r="G59" s="13" t="n">
        <v>168547</v>
      </c>
      <c r="H59" s="11" t="n">
        <v>1</v>
      </c>
      <c r="I59" s="11" t="n">
        <v>1</v>
      </c>
      <c r="J59" s="11" t="n">
        <v>0</v>
      </c>
      <c r="K59" s="11" t="n">
        <v>2</v>
      </c>
      <c r="L59" s="11" t="n">
        <v>0</v>
      </c>
      <c r="M59" s="11" t="n">
        <v>0</v>
      </c>
      <c r="N59" s="11" t="n">
        <v>1</v>
      </c>
      <c r="O59" s="11" t="n">
        <v>0</v>
      </c>
      <c r="P59" s="11" t="n">
        <v>1</v>
      </c>
      <c r="Q59" s="11" t="n">
        <v>0</v>
      </c>
      <c r="R59" s="14" t="s">
        <v>305</v>
      </c>
      <c r="S59" s="15" t="n">
        <v>0.5</v>
      </c>
      <c r="T59" s="11" t="s">
        <v>306</v>
      </c>
      <c r="U59" s="14" t="s">
        <v>307</v>
      </c>
      <c r="V59" s="16" t="s">
        <v>56</v>
      </c>
      <c r="W59" s="17" t="s">
        <v>4</v>
      </c>
      <c r="X59" s="17"/>
      <c r="Y59" s="18"/>
      <c r="Z59" s="18"/>
      <c r="AA59" s="17"/>
      <c r="AB59" s="18"/>
    </row>
    <row r="60" customFormat="false" ht="35.05" hidden="false" customHeight="false" outlineLevel="0" collapsed="false">
      <c r="A60" s="11" t="n">
        <v>56</v>
      </c>
      <c r="B60" s="14" t="s">
        <v>308</v>
      </c>
      <c r="C60" s="11" t="s">
        <v>309</v>
      </c>
      <c r="D60" s="11" t="n">
        <v>4.3</v>
      </c>
      <c r="E60" s="11" t="n">
        <v>6</v>
      </c>
      <c r="F60" s="11" t="n">
        <v>5</v>
      </c>
      <c r="G60" s="13" t="n">
        <v>156525</v>
      </c>
      <c r="H60" s="11" t="n">
        <v>0</v>
      </c>
      <c r="I60" s="11" t="n">
        <v>3</v>
      </c>
      <c r="J60" s="11" t="n">
        <v>2</v>
      </c>
      <c r="K60" s="11" t="n">
        <v>1</v>
      </c>
      <c r="L60" s="11" t="n">
        <v>0</v>
      </c>
      <c r="M60" s="11" t="n">
        <v>0</v>
      </c>
      <c r="N60" s="11" t="n">
        <v>2</v>
      </c>
      <c r="O60" s="11" t="n">
        <v>3</v>
      </c>
      <c r="P60" s="11" t="n">
        <v>1</v>
      </c>
      <c r="Q60" s="11" t="n">
        <v>0</v>
      </c>
      <c r="R60" s="14" t="s">
        <v>310</v>
      </c>
      <c r="S60" s="15" t="n">
        <v>0.33</v>
      </c>
      <c r="T60" s="11" t="s">
        <v>241</v>
      </c>
      <c r="U60" s="14" t="s">
        <v>311</v>
      </c>
      <c r="V60" s="16" t="s">
        <v>56</v>
      </c>
      <c r="W60" s="17" t="s">
        <v>4</v>
      </c>
      <c r="X60" s="17"/>
      <c r="Y60" s="18"/>
      <c r="Z60" s="18"/>
      <c r="AA60" s="17"/>
      <c r="AB60" s="18"/>
    </row>
    <row r="61" customFormat="false" ht="35.05" hidden="false" customHeight="false" outlineLevel="0" collapsed="false">
      <c r="A61" s="11" t="n">
        <v>57</v>
      </c>
      <c r="B61" s="14" t="s">
        <v>312</v>
      </c>
      <c r="C61" s="11" t="s">
        <v>313</v>
      </c>
      <c r="D61" s="11" t="n">
        <v>4.2</v>
      </c>
      <c r="E61" s="11" t="n">
        <v>5</v>
      </c>
      <c r="F61" s="11" t="n">
        <v>5</v>
      </c>
      <c r="G61" s="13" t="n">
        <v>94780</v>
      </c>
      <c r="H61" s="11" t="n">
        <v>0</v>
      </c>
      <c r="I61" s="11" t="n">
        <v>1</v>
      </c>
      <c r="J61" s="11" t="n">
        <v>3</v>
      </c>
      <c r="K61" s="11" t="n">
        <v>0</v>
      </c>
      <c r="L61" s="11" t="n">
        <v>1</v>
      </c>
      <c r="M61" s="11" t="n">
        <v>0</v>
      </c>
      <c r="N61" s="11" t="n">
        <v>3</v>
      </c>
      <c r="O61" s="11" t="n">
        <v>2</v>
      </c>
      <c r="P61" s="11" t="n">
        <v>0</v>
      </c>
      <c r="Q61" s="11" t="n">
        <v>0</v>
      </c>
      <c r="R61" s="14" t="s">
        <v>314</v>
      </c>
      <c r="S61" s="15" t="n">
        <v>0.2</v>
      </c>
      <c r="T61" s="11" t="s">
        <v>315</v>
      </c>
      <c r="U61" s="14" t="s">
        <v>316</v>
      </c>
      <c r="V61" s="16" t="s">
        <v>56</v>
      </c>
      <c r="W61" s="17" t="s">
        <v>4</v>
      </c>
      <c r="X61" s="17"/>
      <c r="Y61" s="18"/>
      <c r="Z61" s="18"/>
      <c r="AA61" s="17"/>
      <c r="AB61" s="18"/>
    </row>
    <row r="62" customFormat="false" ht="35.05" hidden="false" customHeight="false" outlineLevel="0" collapsed="false">
      <c r="A62" s="11" t="n">
        <v>58</v>
      </c>
      <c r="B62" s="14" t="s">
        <v>317</v>
      </c>
      <c r="C62" s="11" t="s">
        <v>318</v>
      </c>
      <c r="D62" s="11" t="n">
        <v>4.1</v>
      </c>
      <c r="E62" s="11" t="n">
        <v>6</v>
      </c>
      <c r="F62" s="11" t="n">
        <v>5</v>
      </c>
      <c r="G62" s="13" t="n">
        <v>81261</v>
      </c>
      <c r="H62" s="11" t="n">
        <v>1</v>
      </c>
      <c r="I62" s="11" t="n">
        <v>1</v>
      </c>
      <c r="J62" s="11" t="n">
        <v>4</v>
      </c>
      <c r="K62" s="11" t="n">
        <v>0</v>
      </c>
      <c r="L62" s="11" t="n">
        <v>0</v>
      </c>
      <c r="M62" s="11" t="n">
        <v>0</v>
      </c>
      <c r="N62" s="11" t="n">
        <v>3</v>
      </c>
      <c r="O62" s="11" t="n">
        <v>2</v>
      </c>
      <c r="P62" s="11" t="n">
        <v>1</v>
      </c>
      <c r="Q62" s="11" t="n">
        <v>0</v>
      </c>
      <c r="R62" s="14" t="s">
        <v>319</v>
      </c>
      <c r="S62" s="15" t="n">
        <v>0.33</v>
      </c>
      <c r="T62" s="11" t="s">
        <v>320</v>
      </c>
      <c r="U62" s="14" t="s">
        <v>321</v>
      </c>
      <c r="V62" s="16" t="s">
        <v>56</v>
      </c>
      <c r="W62" s="17" t="s">
        <v>4</v>
      </c>
      <c r="X62" s="17"/>
      <c r="Y62" s="18"/>
      <c r="Z62" s="18"/>
      <c r="AA62" s="17"/>
      <c r="AB62" s="18"/>
    </row>
    <row r="63" customFormat="false" ht="23.85" hidden="false" customHeight="false" outlineLevel="0" collapsed="false">
      <c r="A63" s="11" t="n">
        <v>59</v>
      </c>
      <c r="B63" s="14" t="s">
        <v>322</v>
      </c>
      <c r="C63" s="11" t="s">
        <v>323</v>
      </c>
      <c r="D63" s="11" t="n">
        <v>4</v>
      </c>
      <c r="E63" s="11" t="n">
        <v>7</v>
      </c>
      <c r="F63" s="11" t="n">
        <v>5</v>
      </c>
      <c r="G63" s="13" t="n">
        <v>56732</v>
      </c>
      <c r="H63" s="11" t="n">
        <v>0</v>
      </c>
      <c r="I63" s="11" t="n">
        <v>1</v>
      </c>
      <c r="J63" s="11" t="n">
        <v>5</v>
      </c>
      <c r="K63" s="11" t="n">
        <v>1</v>
      </c>
      <c r="L63" s="11" t="n">
        <v>0</v>
      </c>
      <c r="M63" s="11" t="n">
        <v>0</v>
      </c>
      <c r="N63" s="11" t="n">
        <v>5</v>
      </c>
      <c r="O63" s="11" t="n">
        <v>2</v>
      </c>
      <c r="P63" s="11" t="n">
        <v>0</v>
      </c>
      <c r="Q63" s="11" t="n">
        <v>0</v>
      </c>
      <c r="R63" s="14" t="s">
        <v>324</v>
      </c>
      <c r="S63" s="15" t="n">
        <v>0.14</v>
      </c>
      <c r="T63" s="11" t="s">
        <v>325</v>
      </c>
      <c r="U63" s="14" t="s">
        <v>326</v>
      </c>
      <c r="V63" s="16" t="s">
        <v>56</v>
      </c>
      <c r="W63" s="17" t="s">
        <v>4</v>
      </c>
      <c r="X63" s="17"/>
      <c r="Y63" s="18"/>
      <c r="Z63" s="18"/>
      <c r="AA63" s="17"/>
      <c r="AB63" s="18"/>
    </row>
    <row r="64" customFormat="false" ht="35.05" hidden="false" customHeight="false" outlineLevel="0" collapsed="false">
      <c r="A64" s="11" t="n">
        <v>60</v>
      </c>
      <c r="B64" s="14" t="s">
        <v>327</v>
      </c>
      <c r="C64" s="11" t="s">
        <v>328</v>
      </c>
      <c r="D64" s="11" t="n">
        <v>3.8</v>
      </c>
      <c r="E64" s="11" t="n">
        <v>4</v>
      </c>
      <c r="F64" s="11" t="n">
        <v>3</v>
      </c>
      <c r="G64" s="13" t="n">
        <v>82503</v>
      </c>
      <c r="H64" s="11" t="n">
        <v>2</v>
      </c>
      <c r="I64" s="11" t="n">
        <v>2</v>
      </c>
      <c r="J64" s="11" t="n">
        <v>0</v>
      </c>
      <c r="K64" s="11" t="n">
        <v>0</v>
      </c>
      <c r="L64" s="11" t="n">
        <v>0</v>
      </c>
      <c r="M64" s="11" t="n">
        <v>1</v>
      </c>
      <c r="N64" s="11" t="n">
        <v>1</v>
      </c>
      <c r="O64" s="11" t="n">
        <v>3</v>
      </c>
      <c r="P64" s="11" t="n">
        <v>0</v>
      </c>
      <c r="Q64" s="11" t="n">
        <v>0</v>
      </c>
      <c r="R64" s="14" t="s">
        <v>329</v>
      </c>
      <c r="S64" s="15" t="n">
        <v>0.25</v>
      </c>
      <c r="T64" s="11" t="s">
        <v>330</v>
      </c>
      <c r="U64" s="14" t="s">
        <v>331</v>
      </c>
      <c r="V64" s="16" t="s">
        <v>56</v>
      </c>
      <c r="W64" s="17" t="s">
        <v>4</v>
      </c>
      <c r="X64" s="17"/>
      <c r="Y64" s="18"/>
      <c r="Z64" s="18"/>
      <c r="AA64" s="17"/>
      <c r="AB64" s="18"/>
    </row>
    <row r="65" customFormat="false" ht="35.05" hidden="false" customHeight="false" outlineLevel="0" collapsed="false">
      <c r="A65" s="11" t="n">
        <v>61</v>
      </c>
      <c r="B65" s="14" t="s">
        <v>332</v>
      </c>
      <c r="C65" s="11" t="s">
        <v>333</v>
      </c>
      <c r="D65" s="11" t="n">
        <v>3.6</v>
      </c>
      <c r="E65" s="11" t="n">
        <v>17</v>
      </c>
      <c r="F65" s="11" t="n">
        <v>4</v>
      </c>
      <c r="G65" s="13" t="n">
        <v>36698</v>
      </c>
      <c r="H65" s="11" t="n">
        <v>4</v>
      </c>
      <c r="I65" s="11" t="n">
        <v>3</v>
      </c>
      <c r="J65" s="11" t="n">
        <v>10</v>
      </c>
      <c r="K65" s="11" t="n">
        <v>0</v>
      </c>
      <c r="L65" s="11" t="n">
        <v>0</v>
      </c>
      <c r="M65" s="11" t="n">
        <v>1</v>
      </c>
      <c r="N65" s="11" t="n">
        <v>16</v>
      </c>
      <c r="O65" s="11" t="n">
        <v>1</v>
      </c>
      <c r="P65" s="11" t="n">
        <v>0</v>
      </c>
      <c r="Q65" s="11" t="n">
        <v>0</v>
      </c>
      <c r="R65" s="14" t="s">
        <v>334</v>
      </c>
      <c r="S65" s="15" t="n">
        <v>0.12</v>
      </c>
      <c r="T65" s="11" t="s">
        <v>179</v>
      </c>
      <c r="U65" s="14" t="s">
        <v>335</v>
      </c>
      <c r="V65" s="16" t="s">
        <v>56</v>
      </c>
      <c r="W65" s="17" t="s">
        <v>4</v>
      </c>
      <c r="X65" s="17"/>
      <c r="Y65" s="18"/>
      <c r="Z65" s="18"/>
      <c r="AA65" s="17"/>
      <c r="AB65" s="18"/>
    </row>
    <row r="66" customFormat="false" ht="23.85" hidden="false" customHeight="false" outlineLevel="0" collapsed="false">
      <c r="A66" s="11" t="n">
        <v>62</v>
      </c>
      <c r="B66" s="14" t="s">
        <v>336</v>
      </c>
      <c r="C66" s="11" t="s">
        <v>337</v>
      </c>
      <c r="D66" s="11" t="n">
        <v>3.6</v>
      </c>
      <c r="E66" s="11" t="n">
        <v>5</v>
      </c>
      <c r="F66" s="11" t="n">
        <v>5</v>
      </c>
      <c r="G66" s="13" t="n">
        <v>56476</v>
      </c>
      <c r="H66" s="11" t="n">
        <v>0</v>
      </c>
      <c r="I66" s="11" t="n">
        <v>0</v>
      </c>
      <c r="J66" s="11" t="n">
        <v>5</v>
      </c>
      <c r="K66" s="11" t="n">
        <v>0</v>
      </c>
      <c r="L66" s="11" t="n">
        <v>0</v>
      </c>
      <c r="M66" s="11" t="n">
        <v>0</v>
      </c>
      <c r="N66" s="11" t="n">
        <v>4</v>
      </c>
      <c r="O66" s="11" t="n">
        <v>1</v>
      </c>
      <c r="P66" s="11" t="n">
        <v>0</v>
      </c>
      <c r="Q66" s="11" t="n">
        <v>0</v>
      </c>
      <c r="R66" s="14" t="s">
        <v>338</v>
      </c>
      <c r="S66" s="15" t="n">
        <v>0.4</v>
      </c>
      <c r="T66" s="11" t="s">
        <v>155</v>
      </c>
      <c r="U66" s="14" t="s">
        <v>339</v>
      </c>
      <c r="V66" s="16" t="s">
        <v>56</v>
      </c>
      <c r="W66" s="17" t="s">
        <v>4</v>
      </c>
      <c r="X66" s="17"/>
      <c r="Y66" s="18"/>
      <c r="Z66" s="18"/>
      <c r="AA66" s="17"/>
      <c r="AB66" s="18"/>
    </row>
    <row r="67" customFormat="false" ht="35.05" hidden="false" customHeight="false" outlineLevel="0" collapsed="false">
      <c r="A67" s="11" t="n">
        <v>63</v>
      </c>
      <c r="B67" s="14" t="s">
        <v>340</v>
      </c>
      <c r="C67" s="11" t="s">
        <v>341</v>
      </c>
      <c r="D67" s="11" t="n">
        <v>3.6</v>
      </c>
      <c r="E67" s="11" t="n">
        <v>8</v>
      </c>
      <c r="F67" s="11" t="n">
        <v>5</v>
      </c>
      <c r="G67" s="13" t="n">
        <v>67190</v>
      </c>
      <c r="H67" s="11" t="n">
        <v>0</v>
      </c>
      <c r="I67" s="11" t="n">
        <v>0</v>
      </c>
      <c r="J67" s="11" t="n">
        <v>8</v>
      </c>
      <c r="K67" s="11" t="n">
        <v>0</v>
      </c>
      <c r="L67" s="11" t="n">
        <v>0</v>
      </c>
      <c r="M67" s="11" t="n">
        <v>0</v>
      </c>
      <c r="N67" s="11" t="n">
        <v>4</v>
      </c>
      <c r="O67" s="11" t="n">
        <v>4</v>
      </c>
      <c r="P67" s="11" t="n">
        <v>0</v>
      </c>
      <c r="Q67" s="11" t="n">
        <v>0</v>
      </c>
      <c r="R67" s="14" t="s">
        <v>342</v>
      </c>
      <c r="S67" s="15" t="n">
        <v>0.25</v>
      </c>
      <c r="T67" s="11" t="s">
        <v>343</v>
      </c>
      <c r="U67" s="14" t="s">
        <v>344</v>
      </c>
      <c r="V67" s="16" t="s">
        <v>56</v>
      </c>
      <c r="W67" s="17" t="s">
        <v>4</v>
      </c>
      <c r="X67" s="17"/>
      <c r="Y67" s="18"/>
      <c r="Z67" s="18"/>
      <c r="AA67" s="17"/>
      <c r="AB67" s="18"/>
    </row>
    <row r="68" customFormat="false" ht="23.85" hidden="false" customHeight="false" outlineLevel="0" collapsed="false">
      <c r="A68" s="11" t="n">
        <v>64</v>
      </c>
      <c r="B68" s="14" t="s">
        <v>345</v>
      </c>
      <c r="C68" s="11" t="s">
        <v>346</v>
      </c>
      <c r="D68" s="11" t="n">
        <v>3.6</v>
      </c>
      <c r="E68" s="11" t="n">
        <v>2</v>
      </c>
      <c r="F68" s="11" t="n">
        <v>2</v>
      </c>
      <c r="G68" s="13" t="n">
        <v>48360</v>
      </c>
      <c r="H68" s="11" t="n">
        <v>2</v>
      </c>
      <c r="I68" s="11" t="n">
        <v>0</v>
      </c>
      <c r="J68" s="11" t="n">
        <v>0</v>
      </c>
      <c r="K68" s="11" t="n">
        <v>0</v>
      </c>
      <c r="L68" s="11" t="n">
        <v>1</v>
      </c>
      <c r="M68" s="11" t="n">
        <v>0</v>
      </c>
      <c r="N68" s="11" t="n">
        <v>1</v>
      </c>
      <c r="O68" s="11" t="n">
        <v>1</v>
      </c>
      <c r="P68" s="11" t="n">
        <v>0</v>
      </c>
      <c r="Q68" s="11" t="n">
        <v>0</v>
      </c>
      <c r="R68" s="14" t="s">
        <v>347</v>
      </c>
      <c r="S68" s="15" t="n">
        <v>0.5</v>
      </c>
      <c r="T68" s="11" t="s">
        <v>348</v>
      </c>
      <c r="U68" s="14" t="s">
        <v>349</v>
      </c>
      <c r="V68" s="16" t="s">
        <v>56</v>
      </c>
      <c r="W68" s="17" t="s">
        <v>4</v>
      </c>
      <c r="X68" s="17"/>
      <c r="Y68" s="18"/>
      <c r="Z68" s="18"/>
      <c r="AA68" s="17"/>
      <c r="AB68" s="18"/>
    </row>
    <row r="69" customFormat="false" ht="35.05" hidden="false" customHeight="false" outlineLevel="0" collapsed="false">
      <c r="A69" s="11" t="n">
        <v>65</v>
      </c>
      <c r="B69" s="14" t="s">
        <v>350</v>
      </c>
      <c r="C69" s="11" t="s">
        <v>351</v>
      </c>
      <c r="D69" s="11" t="n">
        <v>3.4</v>
      </c>
      <c r="E69" s="11" t="n">
        <v>2</v>
      </c>
      <c r="F69" s="11" t="n">
        <v>2</v>
      </c>
      <c r="G69" s="13" t="n">
        <v>20860</v>
      </c>
      <c r="H69" s="11" t="n">
        <v>2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1</v>
      </c>
      <c r="N69" s="11" t="n">
        <v>2</v>
      </c>
      <c r="O69" s="11" t="n">
        <v>0</v>
      </c>
      <c r="P69" s="11" t="n">
        <v>0</v>
      </c>
      <c r="Q69" s="11" t="n">
        <v>0</v>
      </c>
      <c r="R69" s="14" t="s">
        <v>352</v>
      </c>
      <c r="S69" s="15" t="n">
        <v>0.5</v>
      </c>
      <c r="T69" s="11" t="s">
        <v>137</v>
      </c>
      <c r="U69" s="14" t="s">
        <v>353</v>
      </c>
      <c r="V69" s="16" t="s">
        <v>56</v>
      </c>
      <c r="W69" s="17" t="s">
        <v>4</v>
      </c>
      <c r="X69" s="17"/>
      <c r="Y69" s="18"/>
      <c r="Z69" s="18"/>
      <c r="AA69" s="17"/>
      <c r="AB69" s="18"/>
    </row>
    <row r="70" customFormat="false" ht="23.85" hidden="false" customHeight="false" outlineLevel="0" collapsed="false">
      <c r="A70" s="11" t="n">
        <v>66</v>
      </c>
      <c r="B70" s="14" t="s">
        <v>354</v>
      </c>
      <c r="C70" s="11" t="s">
        <v>355</v>
      </c>
      <c r="D70" s="11" t="n">
        <v>3.2</v>
      </c>
      <c r="E70" s="11" t="n">
        <v>4</v>
      </c>
      <c r="F70" s="11" t="n">
        <v>3</v>
      </c>
      <c r="G70" s="13" t="n">
        <v>31965</v>
      </c>
      <c r="H70" s="11" t="n">
        <v>1</v>
      </c>
      <c r="I70" s="11" t="n">
        <v>0</v>
      </c>
      <c r="J70" s="11" t="n">
        <v>3</v>
      </c>
      <c r="K70" s="11" t="n">
        <v>0</v>
      </c>
      <c r="L70" s="11" t="n">
        <v>0</v>
      </c>
      <c r="M70" s="11" t="n">
        <v>1</v>
      </c>
      <c r="N70" s="11" t="n">
        <v>3</v>
      </c>
      <c r="O70" s="11" t="n">
        <v>0</v>
      </c>
      <c r="P70" s="11" t="n">
        <v>0</v>
      </c>
      <c r="Q70" s="11" t="n">
        <v>1</v>
      </c>
      <c r="R70" s="14" t="s">
        <v>356</v>
      </c>
      <c r="S70" s="15" t="n">
        <v>0.5</v>
      </c>
      <c r="T70" s="11" t="s">
        <v>127</v>
      </c>
      <c r="U70" s="14" t="s">
        <v>357</v>
      </c>
      <c r="V70" s="16" t="s">
        <v>56</v>
      </c>
      <c r="W70" s="17" t="s">
        <v>4</v>
      </c>
      <c r="X70" s="17"/>
      <c r="Y70" s="18"/>
      <c r="Z70" s="18"/>
      <c r="AA70" s="17"/>
      <c r="AB70" s="18"/>
    </row>
    <row r="71" customFormat="false" ht="23.85" hidden="false" customHeight="false" outlineLevel="0" collapsed="false">
      <c r="A71" s="11" t="n">
        <v>67</v>
      </c>
      <c r="B71" s="14" t="s">
        <v>358</v>
      </c>
      <c r="C71" s="11" t="s">
        <v>359</v>
      </c>
      <c r="D71" s="11" t="n">
        <v>3.1</v>
      </c>
      <c r="E71" s="11" t="n">
        <v>3</v>
      </c>
      <c r="F71" s="11" t="n">
        <v>3</v>
      </c>
      <c r="G71" s="13" t="n">
        <v>101658</v>
      </c>
      <c r="H71" s="11" t="n">
        <v>1</v>
      </c>
      <c r="I71" s="11" t="n">
        <v>0</v>
      </c>
      <c r="J71" s="11" t="n">
        <v>1</v>
      </c>
      <c r="K71" s="11" t="n">
        <v>0</v>
      </c>
      <c r="L71" s="11" t="n">
        <v>1</v>
      </c>
      <c r="M71" s="11" t="n">
        <v>0</v>
      </c>
      <c r="N71" s="11" t="n">
        <v>1</v>
      </c>
      <c r="O71" s="11" t="n">
        <v>2</v>
      </c>
      <c r="P71" s="11" t="n">
        <v>0</v>
      </c>
      <c r="Q71" s="11" t="n">
        <v>0</v>
      </c>
      <c r="R71" s="14" t="s">
        <v>360</v>
      </c>
      <c r="S71" s="15" t="n">
        <v>0.33</v>
      </c>
      <c r="T71" s="11" t="s">
        <v>164</v>
      </c>
      <c r="U71" s="14" t="s">
        <v>361</v>
      </c>
      <c r="V71" s="16" t="s">
        <v>56</v>
      </c>
      <c r="W71" s="17" t="s">
        <v>4</v>
      </c>
      <c r="X71" s="17"/>
      <c r="Y71" s="18"/>
      <c r="Z71" s="18"/>
      <c r="AA71" s="17"/>
      <c r="AB71" s="18"/>
    </row>
    <row r="72" customFormat="false" ht="15" hidden="false" customHeight="false" outlineLevel="0" collapsed="false">
      <c r="A72" s="11" t="n">
        <v>68</v>
      </c>
      <c r="B72" s="14" t="s">
        <v>362</v>
      </c>
      <c r="C72" s="11" t="s">
        <v>363</v>
      </c>
      <c r="D72" s="11" t="n">
        <v>3.1</v>
      </c>
      <c r="E72" s="11" t="n">
        <v>2</v>
      </c>
      <c r="F72" s="11" t="n">
        <v>2</v>
      </c>
      <c r="G72" s="13" t="n">
        <v>30964</v>
      </c>
      <c r="H72" s="11" t="n">
        <v>1</v>
      </c>
      <c r="I72" s="11" t="n">
        <v>0</v>
      </c>
      <c r="J72" s="11" t="n">
        <v>1</v>
      </c>
      <c r="K72" s="11" t="n">
        <v>0</v>
      </c>
      <c r="L72" s="11" t="n">
        <v>1</v>
      </c>
      <c r="M72" s="11" t="n">
        <v>0</v>
      </c>
      <c r="N72" s="11" t="n">
        <v>2</v>
      </c>
      <c r="O72" s="11" t="n">
        <v>0</v>
      </c>
      <c r="P72" s="11" t="n">
        <v>0</v>
      </c>
      <c r="Q72" s="11" t="n">
        <v>0</v>
      </c>
      <c r="R72" s="14" t="s">
        <v>364</v>
      </c>
      <c r="S72" s="15" t="n">
        <v>0.5</v>
      </c>
      <c r="T72" s="11" t="s">
        <v>365</v>
      </c>
      <c r="U72" s="14" t="s">
        <v>366</v>
      </c>
      <c r="V72" s="16" t="s">
        <v>56</v>
      </c>
      <c r="W72" s="17" t="s">
        <v>4</v>
      </c>
      <c r="X72" s="17"/>
      <c r="Y72" s="18"/>
      <c r="Z72" s="18"/>
      <c r="AA72" s="17"/>
      <c r="AB72" s="18"/>
    </row>
    <row r="73" customFormat="false" ht="35.05" hidden="false" customHeight="false" outlineLevel="0" collapsed="false">
      <c r="A73" s="11" t="n">
        <v>69</v>
      </c>
      <c r="B73" s="14" t="s">
        <v>367</v>
      </c>
      <c r="C73" s="11" t="s">
        <v>368</v>
      </c>
      <c r="D73" s="11" t="n">
        <v>3.1</v>
      </c>
      <c r="E73" s="11" t="n">
        <v>4</v>
      </c>
      <c r="F73" s="11" t="n">
        <v>4</v>
      </c>
      <c r="G73" s="13" t="n">
        <v>300000</v>
      </c>
      <c r="H73" s="11" t="n">
        <v>0</v>
      </c>
      <c r="I73" s="11" t="n">
        <v>2</v>
      </c>
      <c r="J73" s="11" t="n">
        <v>2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2</v>
      </c>
      <c r="P73" s="11" t="n">
        <v>2</v>
      </c>
      <c r="Q73" s="11" t="n">
        <v>0</v>
      </c>
      <c r="R73" s="14" t="s">
        <v>369</v>
      </c>
      <c r="S73" s="15" t="n">
        <v>0.5</v>
      </c>
      <c r="T73" s="11" t="s">
        <v>370</v>
      </c>
      <c r="U73" s="14" t="s">
        <v>371</v>
      </c>
      <c r="V73" s="16" t="s">
        <v>56</v>
      </c>
      <c r="W73" s="17" t="s">
        <v>4</v>
      </c>
      <c r="X73" s="17"/>
      <c r="Y73" s="18"/>
      <c r="Z73" s="18"/>
      <c r="AA73" s="17"/>
      <c r="AB73" s="18"/>
    </row>
    <row r="74" customFormat="false" ht="35.05" hidden="false" customHeight="false" outlineLevel="0" collapsed="false">
      <c r="A74" s="11" t="n">
        <v>70</v>
      </c>
      <c r="B74" s="14" t="s">
        <v>372</v>
      </c>
      <c r="C74" s="11" t="s">
        <v>373</v>
      </c>
      <c r="D74" s="11" t="n">
        <v>3.1</v>
      </c>
      <c r="E74" s="11" t="n">
        <v>4</v>
      </c>
      <c r="F74" s="11" t="n">
        <v>3</v>
      </c>
      <c r="G74" s="13" t="n">
        <v>49082</v>
      </c>
      <c r="H74" s="11" t="n">
        <v>1</v>
      </c>
      <c r="I74" s="11" t="n">
        <v>2</v>
      </c>
      <c r="J74" s="11" t="n">
        <v>0</v>
      </c>
      <c r="K74" s="11" t="n">
        <v>0</v>
      </c>
      <c r="L74" s="11" t="n">
        <v>1</v>
      </c>
      <c r="M74" s="11" t="n">
        <v>0</v>
      </c>
      <c r="N74" s="11" t="n">
        <v>2</v>
      </c>
      <c r="O74" s="11" t="n">
        <v>2</v>
      </c>
      <c r="P74" s="11" t="n">
        <v>0</v>
      </c>
      <c r="Q74" s="11" t="n">
        <v>0</v>
      </c>
      <c r="R74" s="14" t="s">
        <v>374</v>
      </c>
      <c r="S74" s="15" t="n">
        <v>0.5</v>
      </c>
      <c r="T74" s="11" t="s">
        <v>375</v>
      </c>
      <c r="U74" s="14" t="s">
        <v>376</v>
      </c>
      <c r="V74" s="16" t="s">
        <v>56</v>
      </c>
      <c r="W74" s="17" t="s">
        <v>4</v>
      </c>
      <c r="X74" s="17"/>
      <c r="Y74" s="18"/>
      <c r="Z74" s="18"/>
      <c r="AA74" s="17"/>
      <c r="AB74" s="18"/>
    </row>
    <row r="75" customFormat="false" ht="23.85" hidden="false" customHeight="false" outlineLevel="0" collapsed="false">
      <c r="A75" s="11" t="n">
        <v>71</v>
      </c>
      <c r="B75" s="14" t="s">
        <v>377</v>
      </c>
      <c r="C75" s="11" t="s">
        <v>378</v>
      </c>
      <c r="D75" s="11" t="n">
        <v>3</v>
      </c>
      <c r="E75" s="11" t="n">
        <v>6</v>
      </c>
      <c r="F75" s="11" t="n">
        <v>6</v>
      </c>
      <c r="G75" s="13" t="n">
        <v>38283</v>
      </c>
      <c r="H75" s="11" t="n">
        <v>0</v>
      </c>
      <c r="I75" s="11" t="n">
        <v>0</v>
      </c>
      <c r="J75" s="11" t="n">
        <v>6</v>
      </c>
      <c r="K75" s="11" t="n">
        <v>0</v>
      </c>
      <c r="L75" s="11" t="n">
        <v>0</v>
      </c>
      <c r="M75" s="11" t="n">
        <v>0</v>
      </c>
      <c r="N75" s="11" t="n">
        <v>6</v>
      </c>
      <c r="O75" s="11" t="n">
        <v>0</v>
      </c>
      <c r="P75" s="11" t="n">
        <v>0</v>
      </c>
      <c r="Q75" s="11" t="n">
        <v>0</v>
      </c>
      <c r="R75" s="14" t="s">
        <v>379</v>
      </c>
      <c r="S75" s="15" t="n">
        <v>1</v>
      </c>
      <c r="T75" s="11" t="s">
        <v>380</v>
      </c>
      <c r="U75" s="14" t="s">
        <v>381</v>
      </c>
      <c r="V75" s="16" t="s">
        <v>56</v>
      </c>
      <c r="W75" s="17" t="s">
        <v>4</v>
      </c>
      <c r="X75" s="17"/>
      <c r="Y75" s="18"/>
      <c r="Z75" s="18"/>
      <c r="AA75" s="17"/>
      <c r="AB75" s="18"/>
    </row>
    <row r="76" customFormat="false" ht="23.85" hidden="false" customHeight="false" outlineLevel="0" collapsed="false">
      <c r="A76" s="11" t="n">
        <v>72</v>
      </c>
      <c r="B76" s="14" t="s">
        <v>382</v>
      </c>
      <c r="C76" s="11" t="s">
        <v>383</v>
      </c>
      <c r="D76" s="11" t="n">
        <v>2.9</v>
      </c>
      <c r="E76" s="11" t="n">
        <v>4</v>
      </c>
      <c r="F76" s="11" t="n">
        <v>4</v>
      </c>
      <c r="G76" s="13" t="n">
        <v>82352</v>
      </c>
      <c r="H76" s="11" t="n">
        <v>0</v>
      </c>
      <c r="I76" s="11" t="n">
        <v>0</v>
      </c>
      <c r="J76" s="11" t="n">
        <v>4</v>
      </c>
      <c r="K76" s="11" t="n">
        <v>0</v>
      </c>
      <c r="L76" s="11" t="n">
        <v>0</v>
      </c>
      <c r="M76" s="11" t="n">
        <v>0</v>
      </c>
      <c r="N76" s="11" t="n">
        <v>3</v>
      </c>
      <c r="O76" s="11" t="n">
        <v>1</v>
      </c>
      <c r="P76" s="11" t="n">
        <v>0</v>
      </c>
      <c r="Q76" s="11" t="n">
        <v>0</v>
      </c>
      <c r="R76" s="14" t="s">
        <v>384</v>
      </c>
      <c r="S76" s="15" t="n">
        <v>0.5</v>
      </c>
      <c r="T76" s="11" t="s">
        <v>385</v>
      </c>
      <c r="U76" s="14" t="s">
        <v>386</v>
      </c>
      <c r="V76" s="16" t="s">
        <v>56</v>
      </c>
      <c r="W76" s="17" t="s">
        <v>4</v>
      </c>
      <c r="X76" s="17"/>
      <c r="Y76" s="18"/>
      <c r="Z76" s="18"/>
      <c r="AA76" s="17"/>
      <c r="AB76" s="18"/>
    </row>
    <row r="77" customFormat="false" ht="35.05" hidden="false" customHeight="false" outlineLevel="0" collapsed="false">
      <c r="A77" s="11" t="n">
        <v>73</v>
      </c>
      <c r="B77" s="14" t="s">
        <v>387</v>
      </c>
      <c r="C77" s="11" t="s">
        <v>388</v>
      </c>
      <c r="D77" s="11" t="n">
        <v>2.9</v>
      </c>
      <c r="E77" s="11" t="n">
        <v>4</v>
      </c>
      <c r="F77" s="11" t="n">
        <v>4</v>
      </c>
      <c r="G77" s="13" t="n">
        <v>12214</v>
      </c>
      <c r="H77" s="11" t="n">
        <v>0</v>
      </c>
      <c r="I77" s="11" t="n">
        <v>0</v>
      </c>
      <c r="J77" s="11" t="n">
        <v>4</v>
      </c>
      <c r="K77" s="11" t="n">
        <v>0</v>
      </c>
      <c r="L77" s="11" t="n">
        <v>0</v>
      </c>
      <c r="M77" s="11" t="n">
        <v>0</v>
      </c>
      <c r="N77" s="11" t="n">
        <v>4</v>
      </c>
      <c r="O77" s="11" t="n">
        <v>0</v>
      </c>
      <c r="P77" s="11" t="n">
        <v>0</v>
      </c>
      <c r="Q77" s="11" t="n">
        <v>0</v>
      </c>
      <c r="R77" s="14" t="s">
        <v>389</v>
      </c>
      <c r="S77" s="15" t="n">
        <v>0.25</v>
      </c>
      <c r="T77" s="11" t="s">
        <v>390</v>
      </c>
      <c r="U77" s="14" t="s">
        <v>391</v>
      </c>
      <c r="V77" s="16" t="s">
        <v>56</v>
      </c>
      <c r="W77" s="17" t="s">
        <v>4</v>
      </c>
      <c r="X77" s="17"/>
      <c r="Y77" s="18"/>
      <c r="Z77" s="18"/>
      <c r="AA77" s="17"/>
      <c r="AB77" s="18"/>
    </row>
    <row r="78" customFormat="false" ht="35.05" hidden="false" customHeight="false" outlineLevel="0" collapsed="false">
      <c r="A78" s="11" t="n">
        <v>74</v>
      </c>
      <c r="B78" s="14" t="s">
        <v>392</v>
      </c>
      <c r="C78" s="11" t="s">
        <v>393</v>
      </c>
      <c r="D78" s="11" t="n">
        <v>2.8</v>
      </c>
      <c r="E78" s="11" t="n">
        <v>3</v>
      </c>
      <c r="F78" s="11" t="n">
        <v>3</v>
      </c>
      <c r="G78" s="13" t="n">
        <v>70953</v>
      </c>
      <c r="H78" s="11" t="n">
        <v>0</v>
      </c>
      <c r="I78" s="11" t="n">
        <v>1</v>
      </c>
      <c r="J78" s="11" t="n">
        <v>1</v>
      </c>
      <c r="K78" s="11" t="n">
        <v>1</v>
      </c>
      <c r="L78" s="11" t="n">
        <v>0</v>
      </c>
      <c r="M78" s="11" t="n">
        <v>0</v>
      </c>
      <c r="N78" s="11" t="n">
        <v>2</v>
      </c>
      <c r="O78" s="11" t="n">
        <v>1</v>
      </c>
      <c r="P78" s="11" t="n">
        <v>0</v>
      </c>
      <c r="Q78" s="11" t="n">
        <v>0</v>
      </c>
      <c r="R78" s="14" t="s">
        <v>394</v>
      </c>
      <c r="S78" s="15" t="n">
        <v>0.33</v>
      </c>
      <c r="T78" s="11" t="s">
        <v>395</v>
      </c>
      <c r="U78" s="14" t="s">
        <v>396</v>
      </c>
      <c r="V78" s="16" t="s">
        <v>56</v>
      </c>
      <c r="W78" s="17" t="s">
        <v>4</v>
      </c>
      <c r="X78" s="17"/>
      <c r="Y78" s="18"/>
      <c r="Z78" s="18"/>
      <c r="AA78" s="17"/>
      <c r="AB78" s="18"/>
    </row>
    <row r="79" customFormat="false" ht="35.05" hidden="false" customHeight="false" outlineLevel="0" collapsed="false">
      <c r="A79" s="11" t="n">
        <v>75</v>
      </c>
      <c r="B79" s="14" t="s">
        <v>397</v>
      </c>
      <c r="C79" s="11" t="s">
        <v>398</v>
      </c>
      <c r="D79" s="11" t="n">
        <v>2.7</v>
      </c>
      <c r="E79" s="11" t="n">
        <v>3</v>
      </c>
      <c r="F79" s="11" t="n">
        <v>3</v>
      </c>
      <c r="G79" s="13" t="n">
        <v>39450</v>
      </c>
      <c r="H79" s="11" t="n">
        <v>2</v>
      </c>
      <c r="I79" s="11" t="n">
        <v>0</v>
      </c>
      <c r="J79" s="11" t="n">
        <v>1</v>
      </c>
      <c r="K79" s="11" t="n">
        <v>0</v>
      </c>
      <c r="L79" s="11" t="n">
        <v>0</v>
      </c>
      <c r="M79" s="11" t="n">
        <v>1</v>
      </c>
      <c r="N79" s="11" t="n">
        <v>3</v>
      </c>
      <c r="O79" s="11" t="n">
        <v>0</v>
      </c>
      <c r="P79" s="11" t="n">
        <v>0</v>
      </c>
      <c r="Q79" s="11" t="n">
        <v>0</v>
      </c>
      <c r="R79" s="14" t="s">
        <v>399</v>
      </c>
      <c r="S79" s="15" t="n">
        <v>0.33</v>
      </c>
      <c r="T79" s="11" t="s">
        <v>400</v>
      </c>
      <c r="U79" s="14" t="s">
        <v>401</v>
      </c>
      <c r="V79" s="16" t="s">
        <v>56</v>
      </c>
      <c r="W79" s="17" t="s">
        <v>4</v>
      </c>
      <c r="X79" s="17"/>
      <c r="Y79" s="18"/>
      <c r="Z79" s="18"/>
      <c r="AA79" s="17"/>
      <c r="AB79" s="18"/>
    </row>
    <row r="80" customFormat="false" ht="35.05" hidden="false" customHeight="false" outlineLevel="0" collapsed="false">
      <c r="A80" s="11" t="n">
        <v>76</v>
      </c>
      <c r="B80" s="14" t="s">
        <v>402</v>
      </c>
      <c r="C80" s="11" t="s">
        <v>403</v>
      </c>
      <c r="D80" s="11" t="n">
        <v>2.6</v>
      </c>
      <c r="E80" s="11" t="n">
        <v>3</v>
      </c>
      <c r="F80" s="11" t="n">
        <v>3</v>
      </c>
      <c r="G80" s="13" t="n">
        <v>29194</v>
      </c>
      <c r="H80" s="11" t="n">
        <v>1</v>
      </c>
      <c r="I80" s="11" t="n">
        <v>0</v>
      </c>
      <c r="J80" s="11" t="n">
        <v>2</v>
      </c>
      <c r="K80" s="11" t="n">
        <v>0</v>
      </c>
      <c r="L80" s="11" t="n">
        <v>0</v>
      </c>
      <c r="M80" s="11" t="n">
        <v>0</v>
      </c>
      <c r="N80" s="11" t="n">
        <v>3</v>
      </c>
      <c r="O80" s="11" t="n">
        <v>0</v>
      </c>
      <c r="P80" s="11" t="n">
        <v>0</v>
      </c>
      <c r="Q80" s="11" t="n">
        <v>0</v>
      </c>
      <c r="R80" s="14" t="s">
        <v>404</v>
      </c>
      <c r="S80" s="15" t="n">
        <v>0.33</v>
      </c>
      <c r="T80" s="11" t="s">
        <v>405</v>
      </c>
      <c r="U80" s="14" t="s">
        <v>406</v>
      </c>
      <c r="V80" s="16" t="s">
        <v>56</v>
      </c>
      <c r="W80" s="17" t="s">
        <v>4</v>
      </c>
      <c r="X80" s="17"/>
      <c r="Y80" s="18"/>
      <c r="Z80" s="18"/>
      <c r="AA80" s="17"/>
      <c r="AB80" s="18"/>
    </row>
    <row r="81" customFormat="false" ht="35.05" hidden="false" customHeight="false" outlineLevel="0" collapsed="false">
      <c r="A81" s="11" t="n">
        <v>77</v>
      </c>
      <c r="B81" s="14" t="s">
        <v>407</v>
      </c>
      <c r="C81" s="11" t="s">
        <v>408</v>
      </c>
      <c r="D81" s="11" t="n">
        <v>2.6</v>
      </c>
      <c r="E81" s="11" t="n">
        <v>3</v>
      </c>
      <c r="F81" s="11" t="n">
        <v>3</v>
      </c>
      <c r="G81" s="13" t="n">
        <v>134984</v>
      </c>
      <c r="H81" s="11" t="n">
        <v>1</v>
      </c>
      <c r="I81" s="11" t="n">
        <v>0</v>
      </c>
      <c r="J81" s="11" t="n">
        <v>2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3</v>
      </c>
      <c r="P81" s="11" t="n">
        <v>0</v>
      </c>
      <c r="Q81" s="11" t="n">
        <v>0</v>
      </c>
      <c r="R81" s="14" t="s">
        <v>409</v>
      </c>
      <c r="S81" s="15" t="n">
        <v>0.33</v>
      </c>
      <c r="T81" s="11" t="s">
        <v>410</v>
      </c>
      <c r="U81" s="14" t="s">
        <v>411</v>
      </c>
      <c r="V81" s="16" t="s">
        <v>56</v>
      </c>
      <c r="W81" s="17" t="s">
        <v>4</v>
      </c>
      <c r="X81" s="17"/>
      <c r="Y81" s="18"/>
      <c r="Z81" s="18"/>
      <c r="AA81" s="17"/>
      <c r="AB81" s="18"/>
    </row>
    <row r="82" customFormat="false" ht="23.85" hidden="false" customHeight="false" outlineLevel="0" collapsed="false">
      <c r="A82" s="11" t="n">
        <v>78</v>
      </c>
      <c r="B82" s="14" t="s">
        <v>412</v>
      </c>
      <c r="C82" s="11" t="s">
        <v>413</v>
      </c>
      <c r="D82" s="11" t="n">
        <v>2.5</v>
      </c>
      <c r="E82" s="11" t="n">
        <v>4</v>
      </c>
      <c r="F82" s="11" t="n">
        <v>3</v>
      </c>
      <c r="G82" s="13" t="n">
        <v>73911</v>
      </c>
      <c r="H82" s="11" t="n">
        <v>0</v>
      </c>
      <c r="I82" s="11" t="n">
        <v>2</v>
      </c>
      <c r="J82" s="11" t="n">
        <v>1</v>
      </c>
      <c r="K82" s="11" t="n">
        <v>0</v>
      </c>
      <c r="L82" s="11" t="n">
        <v>0</v>
      </c>
      <c r="M82" s="11" t="n">
        <v>1</v>
      </c>
      <c r="N82" s="11" t="n">
        <v>2</v>
      </c>
      <c r="O82" s="11" t="n">
        <v>1</v>
      </c>
      <c r="P82" s="11" t="n">
        <v>1</v>
      </c>
      <c r="Q82" s="11" t="n">
        <v>0</v>
      </c>
      <c r="R82" s="14" t="s">
        <v>414</v>
      </c>
      <c r="S82" s="15" t="n">
        <v>0.25</v>
      </c>
      <c r="T82" s="11" t="s">
        <v>90</v>
      </c>
      <c r="U82" s="14" t="s">
        <v>415</v>
      </c>
      <c r="V82" s="16" t="s">
        <v>56</v>
      </c>
      <c r="W82" s="17" t="s">
        <v>4</v>
      </c>
      <c r="X82" s="17"/>
      <c r="Y82" s="18"/>
      <c r="Z82" s="18"/>
      <c r="AA82" s="17"/>
      <c r="AB82" s="18"/>
    </row>
    <row r="83" customFormat="false" ht="23.85" hidden="false" customHeight="false" outlineLevel="0" collapsed="false">
      <c r="A83" s="11" t="n">
        <v>79</v>
      </c>
      <c r="B83" s="14" t="s">
        <v>416</v>
      </c>
      <c r="C83" s="11" t="s">
        <v>417</v>
      </c>
      <c r="D83" s="11" t="n">
        <v>2.4</v>
      </c>
      <c r="E83" s="11" t="n">
        <v>2</v>
      </c>
      <c r="F83" s="11" t="n">
        <v>2</v>
      </c>
      <c r="G83" s="13" t="n">
        <v>38600</v>
      </c>
      <c r="H83" s="11" t="n">
        <v>0</v>
      </c>
      <c r="I83" s="11" t="n">
        <v>2</v>
      </c>
      <c r="J83" s="11" t="n">
        <v>1</v>
      </c>
      <c r="K83" s="11" t="n">
        <v>0</v>
      </c>
      <c r="L83" s="11" t="n">
        <v>0</v>
      </c>
      <c r="M83" s="11" t="n">
        <v>0</v>
      </c>
      <c r="N83" s="11" t="n">
        <v>2</v>
      </c>
      <c r="O83" s="11" t="n">
        <v>0</v>
      </c>
      <c r="P83" s="11" t="n">
        <v>0</v>
      </c>
      <c r="Q83" s="11" t="n">
        <v>0</v>
      </c>
      <c r="R83" s="14" t="s">
        <v>418</v>
      </c>
      <c r="S83" s="15" t="n">
        <v>0.5</v>
      </c>
      <c r="T83" s="11" t="s">
        <v>419</v>
      </c>
      <c r="U83" s="14" t="s">
        <v>420</v>
      </c>
      <c r="V83" s="16" t="s">
        <v>56</v>
      </c>
      <c r="W83" s="17" t="s">
        <v>4</v>
      </c>
      <c r="X83" s="17"/>
      <c r="Y83" s="18"/>
      <c r="Z83" s="18"/>
      <c r="AA83" s="17"/>
      <c r="AB83" s="18"/>
    </row>
    <row r="84" customFormat="false" ht="35.05" hidden="false" customHeight="false" outlineLevel="0" collapsed="false">
      <c r="A84" s="11" t="n">
        <v>80</v>
      </c>
      <c r="B84" s="14" t="s">
        <v>421</v>
      </c>
      <c r="C84" s="11" t="s">
        <v>422</v>
      </c>
      <c r="D84" s="11" t="n">
        <v>2.2</v>
      </c>
      <c r="E84" s="11" t="n">
        <v>3</v>
      </c>
      <c r="F84" s="11" t="n">
        <v>3</v>
      </c>
      <c r="G84" s="13" t="n">
        <v>38170</v>
      </c>
      <c r="H84" s="11" t="n">
        <v>0</v>
      </c>
      <c r="I84" s="11" t="n">
        <v>0</v>
      </c>
      <c r="J84" s="11" t="n">
        <v>3</v>
      </c>
      <c r="K84" s="11" t="n">
        <v>0</v>
      </c>
      <c r="L84" s="11" t="n">
        <v>0</v>
      </c>
      <c r="M84" s="11" t="n">
        <v>0</v>
      </c>
      <c r="N84" s="11" t="n">
        <v>3</v>
      </c>
      <c r="O84" s="11" t="n">
        <v>0</v>
      </c>
      <c r="P84" s="11" t="n">
        <v>0</v>
      </c>
      <c r="Q84" s="11" t="n">
        <v>0</v>
      </c>
      <c r="R84" s="14" t="s">
        <v>423</v>
      </c>
      <c r="S84" s="15" t="n">
        <v>0.33</v>
      </c>
      <c r="T84" s="11" t="s">
        <v>95</v>
      </c>
      <c r="U84" s="14" t="s">
        <v>424</v>
      </c>
      <c r="V84" s="16" t="s">
        <v>56</v>
      </c>
      <c r="W84" s="17" t="s">
        <v>4</v>
      </c>
      <c r="X84" s="17"/>
      <c r="Y84" s="18"/>
      <c r="Z84" s="18"/>
      <c r="AA84" s="17"/>
      <c r="AB84" s="18"/>
    </row>
    <row r="85" customFormat="false" ht="23.85" hidden="false" customHeight="false" outlineLevel="0" collapsed="false">
      <c r="A85" s="11" t="n">
        <v>81</v>
      </c>
      <c r="B85" s="14" t="s">
        <v>425</v>
      </c>
      <c r="C85" s="11" t="s">
        <v>426</v>
      </c>
      <c r="D85" s="11" t="n">
        <v>2.2</v>
      </c>
      <c r="E85" s="11" t="n">
        <v>3</v>
      </c>
      <c r="F85" s="11" t="n">
        <v>3</v>
      </c>
      <c r="G85" s="13" t="n">
        <v>73408</v>
      </c>
      <c r="H85" s="11" t="n">
        <v>0</v>
      </c>
      <c r="I85" s="11" t="n">
        <v>0</v>
      </c>
      <c r="J85" s="11" t="n">
        <v>3</v>
      </c>
      <c r="K85" s="11" t="n">
        <v>0</v>
      </c>
      <c r="L85" s="11" t="n">
        <v>0</v>
      </c>
      <c r="M85" s="11" t="n">
        <v>0</v>
      </c>
      <c r="N85" s="11" t="n">
        <v>2</v>
      </c>
      <c r="O85" s="11" t="n">
        <v>1</v>
      </c>
      <c r="P85" s="11" t="n">
        <v>0</v>
      </c>
      <c r="Q85" s="11" t="n">
        <v>0</v>
      </c>
      <c r="R85" s="14" t="s">
        <v>427</v>
      </c>
      <c r="S85" s="15" t="n">
        <v>0.33</v>
      </c>
      <c r="T85" s="11" t="s">
        <v>428</v>
      </c>
      <c r="U85" s="14" t="s">
        <v>429</v>
      </c>
      <c r="V85" s="16" t="s">
        <v>56</v>
      </c>
      <c r="W85" s="17" t="s">
        <v>4</v>
      </c>
      <c r="X85" s="17"/>
      <c r="Y85" s="18"/>
      <c r="Z85" s="18"/>
      <c r="AA85" s="17"/>
      <c r="AB85" s="18"/>
    </row>
    <row r="86" customFormat="false" ht="23.85" hidden="false" customHeight="false" outlineLevel="0" collapsed="false">
      <c r="A86" s="11" t="n">
        <v>82</v>
      </c>
      <c r="B86" s="14" t="s">
        <v>430</v>
      </c>
      <c r="C86" s="11" t="s">
        <v>431</v>
      </c>
      <c r="D86" s="11" t="n">
        <v>2.2</v>
      </c>
      <c r="E86" s="11" t="n">
        <v>3</v>
      </c>
      <c r="F86" s="11" t="n">
        <v>3</v>
      </c>
      <c r="G86" s="13" t="n">
        <v>24574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1</v>
      </c>
      <c r="M86" s="11" t="n">
        <v>2</v>
      </c>
      <c r="N86" s="11" t="n">
        <v>3</v>
      </c>
      <c r="O86" s="11" t="n">
        <v>0</v>
      </c>
      <c r="P86" s="11" t="n">
        <v>0</v>
      </c>
      <c r="Q86" s="11" t="n">
        <v>0</v>
      </c>
      <c r="R86" s="14" t="s">
        <v>432</v>
      </c>
      <c r="S86" s="15" t="n">
        <v>0.67</v>
      </c>
      <c r="T86" s="11" t="s">
        <v>433</v>
      </c>
      <c r="U86" s="14" t="s">
        <v>434</v>
      </c>
      <c r="V86" s="16" t="s">
        <v>56</v>
      </c>
      <c r="W86" s="17" t="s">
        <v>4</v>
      </c>
      <c r="X86" s="17"/>
      <c r="Y86" s="18"/>
      <c r="Z86" s="18"/>
      <c r="AA86" s="17"/>
      <c r="AB86" s="18"/>
    </row>
    <row r="87" customFormat="false" ht="35.05" hidden="false" customHeight="false" outlineLevel="0" collapsed="false">
      <c r="A87" s="11" t="n">
        <v>83</v>
      </c>
      <c r="B87" s="14" t="s">
        <v>435</v>
      </c>
      <c r="C87" s="11" t="s">
        <v>436</v>
      </c>
      <c r="D87" s="11" t="n">
        <v>2.2</v>
      </c>
      <c r="E87" s="11" t="n">
        <v>3</v>
      </c>
      <c r="F87" s="11" t="n">
        <v>3</v>
      </c>
      <c r="G87" s="13" t="n">
        <v>31113</v>
      </c>
      <c r="H87" s="11" t="n">
        <v>0</v>
      </c>
      <c r="I87" s="11" t="n">
        <v>0</v>
      </c>
      <c r="J87" s="11" t="n">
        <v>3</v>
      </c>
      <c r="K87" s="11" t="n">
        <v>0</v>
      </c>
      <c r="L87" s="11" t="n">
        <v>0</v>
      </c>
      <c r="M87" s="11" t="n">
        <v>0</v>
      </c>
      <c r="N87" s="11" t="n">
        <v>3</v>
      </c>
      <c r="O87" s="11" t="n">
        <v>0</v>
      </c>
      <c r="P87" s="11" t="n">
        <v>0</v>
      </c>
      <c r="Q87" s="11" t="n">
        <v>0</v>
      </c>
      <c r="R87" s="14" t="s">
        <v>437</v>
      </c>
      <c r="S87" s="15" t="n">
        <v>0.33</v>
      </c>
      <c r="T87" s="11" t="s">
        <v>438</v>
      </c>
      <c r="U87" s="14" t="s">
        <v>439</v>
      </c>
      <c r="V87" s="16" t="s">
        <v>56</v>
      </c>
      <c r="W87" s="17" t="s">
        <v>4</v>
      </c>
      <c r="X87" s="17"/>
      <c r="Y87" s="18"/>
      <c r="Z87" s="18"/>
      <c r="AA87" s="17"/>
      <c r="AB87" s="18"/>
    </row>
    <row r="88" customFormat="false" ht="46.25" hidden="false" customHeight="false" outlineLevel="0" collapsed="false">
      <c r="A88" s="11" t="n">
        <v>84</v>
      </c>
      <c r="B88" s="14" t="s">
        <v>440</v>
      </c>
      <c r="C88" s="11" t="s">
        <v>441</v>
      </c>
      <c r="D88" s="11" t="n">
        <v>2.2</v>
      </c>
      <c r="E88" s="11" t="n">
        <v>3</v>
      </c>
      <c r="F88" s="11" t="n">
        <v>3</v>
      </c>
      <c r="G88" s="13" t="n">
        <v>54435</v>
      </c>
      <c r="H88" s="11" t="n">
        <v>0</v>
      </c>
      <c r="I88" s="11" t="n">
        <v>0</v>
      </c>
      <c r="J88" s="11" t="n">
        <v>3</v>
      </c>
      <c r="K88" s="11" t="n">
        <v>0</v>
      </c>
      <c r="L88" s="11" t="n">
        <v>0</v>
      </c>
      <c r="M88" s="11" t="n">
        <v>0</v>
      </c>
      <c r="N88" s="11" t="n">
        <v>2</v>
      </c>
      <c r="O88" s="11" t="n">
        <v>1</v>
      </c>
      <c r="P88" s="11" t="n">
        <v>0</v>
      </c>
      <c r="Q88" s="11" t="n">
        <v>0</v>
      </c>
      <c r="R88" s="14" t="s">
        <v>442</v>
      </c>
      <c r="S88" s="15" t="n">
        <v>0.33</v>
      </c>
      <c r="T88" s="11" t="s">
        <v>443</v>
      </c>
      <c r="U88" s="14" t="s">
        <v>444</v>
      </c>
      <c r="V88" s="16" t="s">
        <v>56</v>
      </c>
      <c r="W88" s="17" t="s">
        <v>4</v>
      </c>
      <c r="X88" s="17"/>
      <c r="Y88" s="18"/>
      <c r="Z88" s="18"/>
      <c r="AA88" s="17"/>
      <c r="AB88" s="18"/>
    </row>
    <row r="89" customFormat="false" ht="46.25" hidden="false" customHeight="false" outlineLevel="0" collapsed="false">
      <c r="A89" s="11" t="n">
        <v>85</v>
      </c>
      <c r="B89" s="14" t="s">
        <v>445</v>
      </c>
      <c r="C89" s="11" t="s">
        <v>446</v>
      </c>
      <c r="D89" s="11" t="n">
        <v>2.2</v>
      </c>
      <c r="E89" s="11" t="n">
        <v>3</v>
      </c>
      <c r="F89" s="11" t="n">
        <v>3</v>
      </c>
      <c r="G89" s="13" t="n">
        <v>32551</v>
      </c>
      <c r="H89" s="11" t="n">
        <v>0</v>
      </c>
      <c r="I89" s="11" t="n">
        <v>0</v>
      </c>
      <c r="J89" s="11" t="n">
        <v>3</v>
      </c>
      <c r="K89" s="11" t="n">
        <v>0</v>
      </c>
      <c r="L89" s="11" t="n">
        <v>0</v>
      </c>
      <c r="M89" s="11" t="n">
        <v>0</v>
      </c>
      <c r="N89" s="11" t="n">
        <v>3</v>
      </c>
      <c r="O89" s="11" t="n">
        <v>0</v>
      </c>
      <c r="P89" s="11" t="n">
        <v>0</v>
      </c>
      <c r="Q89" s="11" t="n">
        <v>0</v>
      </c>
      <c r="R89" s="14" t="s">
        <v>447</v>
      </c>
      <c r="S89" s="15" t="n">
        <v>0.33</v>
      </c>
      <c r="T89" s="11" t="s">
        <v>448</v>
      </c>
      <c r="U89" s="14" t="s">
        <v>449</v>
      </c>
      <c r="V89" s="16" t="s">
        <v>56</v>
      </c>
      <c r="W89" s="17" t="s">
        <v>4</v>
      </c>
      <c r="X89" s="17"/>
      <c r="Y89" s="18"/>
      <c r="Z89" s="18"/>
      <c r="AA89" s="17"/>
      <c r="AB89" s="18"/>
    </row>
    <row r="90" customFormat="false" ht="23.85" hidden="false" customHeight="false" outlineLevel="0" collapsed="false">
      <c r="A90" s="11" t="n">
        <v>86</v>
      </c>
      <c r="B90" s="14" t="s">
        <v>450</v>
      </c>
      <c r="C90" s="11" t="s">
        <v>451</v>
      </c>
      <c r="D90" s="11" t="n">
        <v>2.2</v>
      </c>
      <c r="E90" s="11" t="n">
        <v>3</v>
      </c>
      <c r="F90" s="11" t="n">
        <v>3</v>
      </c>
      <c r="G90" s="13" t="n">
        <v>4197</v>
      </c>
      <c r="H90" s="11" t="n">
        <v>0</v>
      </c>
      <c r="I90" s="11" t="n">
        <v>0</v>
      </c>
      <c r="J90" s="11" t="n">
        <v>3</v>
      </c>
      <c r="K90" s="11" t="n">
        <v>0</v>
      </c>
      <c r="L90" s="11" t="n">
        <v>0</v>
      </c>
      <c r="M90" s="11" t="n">
        <v>0</v>
      </c>
      <c r="N90" s="11" t="n">
        <v>3</v>
      </c>
      <c r="O90" s="11" t="n">
        <v>0</v>
      </c>
      <c r="P90" s="11" t="n">
        <v>0</v>
      </c>
      <c r="Q90" s="11" t="n">
        <v>0</v>
      </c>
      <c r="R90" s="14" t="s">
        <v>452</v>
      </c>
      <c r="S90" s="15" t="n">
        <v>0.33</v>
      </c>
      <c r="T90" s="11" t="s">
        <v>419</v>
      </c>
      <c r="U90" s="14" t="s">
        <v>453</v>
      </c>
      <c r="V90" s="16" t="s">
        <v>56</v>
      </c>
      <c r="W90" s="17" t="s">
        <v>4</v>
      </c>
      <c r="X90" s="17"/>
      <c r="Y90" s="18"/>
      <c r="Z90" s="18"/>
      <c r="AA90" s="17"/>
      <c r="AB90" s="18"/>
    </row>
    <row r="91" customFormat="false" ht="15" hidden="false" customHeight="false" outlineLevel="0" collapsed="false">
      <c r="A91" s="11" t="n">
        <v>87</v>
      </c>
      <c r="B91" s="14" t="s">
        <v>454</v>
      </c>
      <c r="C91" s="11" t="s">
        <v>455</v>
      </c>
      <c r="D91" s="11" t="n">
        <v>2</v>
      </c>
      <c r="E91" s="11" t="n">
        <v>4</v>
      </c>
      <c r="F91" s="11" t="n">
        <v>4</v>
      </c>
      <c r="G91" s="13" t="n">
        <v>56632</v>
      </c>
      <c r="H91" s="11" t="n">
        <v>0</v>
      </c>
      <c r="I91" s="11" t="n">
        <v>0</v>
      </c>
      <c r="J91" s="11" t="n">
        <v>4</v>
      </c>
      <c r="K91" s="11" t="n">
        <v>0</v>
      </c>
      <c r="L91" s="11" t="n">
        <v>0</v>
      </c>
      <c r="M91" s="11" t="n">
        <v>0</v>
      </c>
      <c r="N91" s="11" t="n">
        <v>3</v>
      </c>
      <c r="O91" s="11" t="n">
        <v>1</v>
      </c>
      <c r="P91" s="11" t="n">
        <v>0</v>
      </c>
      <c r="Q91" s="11" t="n">
        <v>0</v>
      </c>
      <c r="R91" s="14" t="s">
        <v>456</v>
      </c>
      <c r="S91" s="15" t="n">
        <v>0.75</v>
      </c>
      <c r="T91" s="11" t="s">
        <v>457</v>
      </c>
      <c r="U91" s="14" t="s">
        <v>339</v>
      </c>
      <c r="V91" s="16" t="s">
        <v>56</v>
      </c>
      <c r="W91" s="17" t="s">
        <v>4</v>
      </c>
      <c r="X91" s="17"/>
      <c r="Y91" s="18"/>
      <c r="Z91" s="18"/>
      <c r="AA91" s="17"/>
      <c r="AB91" s="18"/>
    </row>
    <row r="92" customFormat="false" ht="35.05" hidden="false" customHeight="false" outlineLevel="0" collapsed="false">
      <c r="A92" s="11" t="n">
        <v>88</v>
      </c>
      <c r="B92" s="14" t="s">
        <v>458</v>
      </c>
      <c r="C92" s="11" t="s">
        <v>459</v>
      </c>
      <c r="D92" s="11" t="n">
        <v>2</v>
      </c>
      <c r="E92" s="11" t="n">
        <v>18</v>
      </c>
      <c r="F92" s="11" t="n">
        <v>2</v>
      </c>
      <c r="G92" s="13" t="n">
        <v>17940</v>
      </c>
      <c r="H92" s="11" t="n">
        <v>6</v>
      </c>
      <c r="I92" s="11" t="n">
        <v>5</v>
      </c>
      <c r="J92" s="11" t="n">
        <v>5</v>
      </c>
      <c r="K92" s="11" t="n">
        <v>2</v>
      </c>
      <c r="L92" s="11" t="n">
        <v>0</v>
      </c>
      <c r="M92" s="11" t="n">
        <v>1</v>
      </c>
      <c r="N92" s="11" t="n">
        <v>6</v>
      </c>
      <c r="O92" s="11" t="n">
        <v>3</v>
      </c>
      <c r="P92" s="11" t="n">
        <v>7</v>
      </c>
      <c r="Q92" s="11" t="n">
        <v>2</v>
      </c>
      <c r="R92" s="14" t="s">
        <v>460</v>
      </c>
      <c r="S92" s="15" t="n">
        <v>0.28</v>
      </c>
      <c r="T92" s="11" t="s">
        <v>461</v>
      </c>
      <c r="U92" s="14" t="s">
        <v>462</v>
      </c>
      <c r="V92" s="16" t="s">
        <v>56</v>
      </c>
      <c r="W92" s="17" t="s">
        <v>4</v>
      </c>
      <c r="X92" s="17"/>
      <c r="Y92" s="18"/>
      <c r="Z92" s="18"/>
      <c r="AA92" s="17"/>
      <c r="AB92" s="18"/>
    </row>
    <row r="93" customFormat="false" ht="35.05" hidden="false" customHeight="false" outlineLevel="0" collapsed="false">
      <c r="A93" s="11" t="n">
        <v>89</v>
      </c>
      <c r="B93" s="14" t="s">
        <v>463</v>
      </c>
      <c r="C93" s="11" t="s">
        <v>464</v>
      </c>
      <c r="D93" s="11" t="n">
        <v>2</v>
      </c>
      <c r="E93" s="11" t="n">
        <v>1</v>
      </c>
      <c r="F93" s="11" t="n">
        <v>1</v>
      </c>
      <c r="G93" s="13" t="n">
        <v>14120</v>
      </c>
      <c r="H93" s="11" t="n">
        <v>1</v>
      </c>
      <c r="I93" s="11" t="n">
        <v>0</v>
      </c>
      <c r="J93" s="11" t="n">
        <v>1</v>
      </c>
      <c r="K93" s="11" t="n">
        <v>0</v>
      </c>
      <c r="L93" s="11" t="n">
        <v>0</v>
      </c>
      <c r="M93" s="11" t="n">
        <v>1</v>
      </c>
      <c r="N93" s="11" t="n">
        <v>1</v>
      </c>
      <c r="O93" s="11" t="n">
        <v>0</v>
      </c>
      <c r="P93" s="11" t="n">
        <v>0</v>
      </c>
      <c r="Q93" s="11" t="n">
        <v>0</v>
      </c>
      <c r="R93" s="14" t="s">
        <v>465</v>
      </c>
      <c r="S93" s="15" t="n">
        <v>1</v>
      </c>
      <c r="T93" s="11" t="s">
        <v>466</v>
      </c>
      <c r="U93" s="14" t="s">
        <v>467</v>
      </c>
      <c r="V93" s="16" t="s">
        <v>56</v>
      </c>
      <c r="W93" s="17" t="s">
        <v>4</v>
      </c>
      <c r="X93" s="17"/>
      <c r="Y93" s="18"/>
      <c r="Z93" s="18"/>
      <c r="AA93" s="17"/>
      <c r="AB93" s="18"/>
    </row>
    <row r="94" customFormat="false" ht="23.85" hidden="false" customHeight="false" outlineLevel="0" collapsed="false">
      <c r="A94" s="11" t="n">
        <v>90</v>
      </c>
      <c r="B94" s="14" t="s">
        <v>468</v>
      </c>
      <c r="C94" s="11" t="s">
        <v>469</v>
      </c>
      <c r="D94" s="11" t="n">
        <v>1.9</v>
      </c>
      <c r="E94" s="11" t="n">
        <v>2</v>
      </c>
      <c r="F94" s="11" t="n">
        <v>2</v>
      </c>
      <c r="G94" s="13" t="n">
        <v>8792</v>
      </c>
      <c r="H94" s="11" t="n">
        <v>1</v>
      </c>
      <c r="I94" s="11" t="n">
        <v>0</v>
      </c>
      <c r="J94" s="11" t="n">
        <v>1</v>
      </c>
      <c r="K94" s="11" t="n">
        <v>0</v>
      </c>
      <c r="L94" s="11" t="n">
        <v>0</v>
      </c>
      <c r="M94" s="11" t="n">
        <v>0</v>
      </c>
      <c r="N94" s="11" t="n">
        <v>2</v>
      </c>
      <c r="O94" s="11" t="n">
        <v>0</v>
      </c>
      <c r="P94" s="11" t="n">
        <v>0</v>
      </c>
      <c r="Q94" s="11" t="n">
        <v>0</v>
      </c>
      <c r="R94" s="14" t="s">
        <v>470</v>
      </c>
      <c r="S94" s="15" t="n">
        <v>0.5</v>
      </c>
      <c r="T94" s="11" t="s">
        <v>471</v>
      </c>
      <c r="U94" s="14" t="s">
        <v>472</v>
      </c>
      <c r="V94" s="16" t="s">
        <v>56</v>
      </c>
      <c r="W94" s="17" t="s">
        <v>4</v>
      </c>
      <c r="X94" s="17"/>
      <c r="Y94" s="18"/>
      <c r="Z94" s="18"/>
      <c r="AA94" s="17"/>
      <c r="AB94" s="18"/>
    </row>
    <row r="95" customFormat="false" ht="35.05" hidden="false" customHeight="false" outlineLevel="0" collapsed="false">
      <c r="A95" s="11" t="n">
        <v>91</v>
      </c>
      <c r="B95" s="14" t="s">
        <v>473</v>
      </c>
      <c r="C95" s="11" t="s">
        <v>474</v>
      </c>
      <c r="D95" s="11" t="n">
        <v>1.8</v>
      </c>
      <c r="E95" s="11" t="n">
        <v>19</v>
      </c>
      <c r="F95" s="11" t="n">
        <v>2</v>
      </c>
      <c r="G95" s="13" t="n">
        <v>90700</v>
      </c>
      <c r="H95" s="11" t="n">
        <v>4</v>
      </c>
      <c r="I95" s="11" t="n">
        <v>0</v>
      </c>
      <c r="J95" s="11" t="n">
        <v>12</v>
      </c>
      <c r="K95" s="11" t="n">
        <v>1</v>
      </c>
      <c r="L95" s="11" t="n">
        <v>1</v>
      </c>
      <c r="M95" s="11" t="n">
        <v>1</v>
      </c>
      <c r="N95" s="11" t="n">
        <v>11</v>
      </c>
      <c r="O95" s="11" t="n">
        <v>6</v>
      </c>
      <c r="P95" s="11" t="n">
        <v>2</v>
      </c>
      <c r="Q95" s="11" t="n">
        <v>0</v>
      </c>
      <c r="R95" s="14" t="s">
        <v>475</v>
      </c>
      <c r="S95" s="15" t="n">
        <v>0.11</v>
      </c>
      <c r="T95" s="11" t="s">
        <v>476</v>
      </c>
      <c r="U95" s="14" t="s">
        <v>477</v>
      </c>
      <c r="V95" s="16" t="s">
        <v>56</v>
      </c>
      <c r="W95" s="17" t="s">
        <v>4</v>
      </c>
      <c r="X95" s="17"/>
      <c r="Y95" s="18"/>
      <c r="Z95" s="18"/>
      <c r="AA95" s="17"/>
      <c r="AB95" s="18"/>
    </row>
    <row r="96" customFormat="false" ht="23.85" hidden="false" customHeight="false" outlineLevel="0" collapsed="false">
      <c r="A96" s="11" t="n">
        <v>92</v>
      </c>
      <c r="B96" s="14" t="s">
        <v>478</v>
      </c>
      <c r="C96" s="11" t="s">
        <v>479</v>
      </c>
      <c r="D96" s="11" t="n">
        <v>1.7</v>
      </c>
      <c r="E96" s="11" t="n">
        <v>2</v>
      </c>
      <c r="F96" s="11" t="n">
        <v>2</v>
      </c>
      <c r="G96" s="13" t="n">
        <v>14920</v>
      </c>
      <c r="H96" s="11" t="n">
        <v>0</v>
      </c>
      <c r="I96" s="11" t="n">
        <v>0</v>
      </c>
      <c r="J96" s="11" t="n">
        <v>1</v>
      </c>
      <c r="K96" s="11" t="n">
        <v>0</v>
      </c>
      <c r="L96" s="11" t="n">
        <v>0</v>
      </c>
      <c r="M96" s="11" t="n">
        <v>1</v>
      </c>
      <c r="N96" s="11" t="n">
        <v>2</v>
      </c>
      <c r="O96" s="11" t="n">
        <v>0</v>
      </c>
      <c r="P96" s="11" t="n">
        <v>0</v>
      </c>
      <c r="Q96" s="11" t="n">
        <v>0</v>
      </c>
      <c r="R96" s="14" t="s">
        <v>480</v>
      </c>
      <c r="S96" s="15" t="n">
        <v>0.5</v>
      </c>
      <c r="T96" s="11" t="s">
        <v>461</v>
      </c>
      <c r="U96" s="14" t="s">
        <v>481</v>
      </c>
      <c r="V96" s="16" t="s">
        <v>56</v>
      </c>
      <c r="W96" s="17" t="s">
        <v>4</v>
      </c>
      <c r="X96" s="17"/>
      <c r="Y96" s="18"/>
      <c r="Z96" s="18"/>
      <c r="AA96" s="17"/>
      <c r="AB96" s="18"/>
    </row>
    <row r="97" customFormat="false" ht="23.85" hidden="false" customHeight="false" outlineLevel="0" collapsed="false">
      <c r="A97" s="11" t="n">
        <v>93</v>
      </c>
      <c r="B97" s="14" t="s">
        <v>482</v>
      </c>
      <c r="C97" s="11" t="s">
        <v>483</v>
      </c>
      <c r="D97" s="11" t="n">
        <v>1.7</v>
      </c>
      <c r="E97" s="11" t="n">
        <v>2</v>
      </c>
      <c r="F97" s="11" t="n">
        <v>2</v>
      </c>
      <c r="G97" s="13" t="n">
        <v>94400</v>
      </c>
      <c r="H97" s="11" t="n">
        <v>0</v>
      </c>
      <c r="I97" s="11" t="n">
        <v>2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1</v>
      </c>
      <c r="O97" s="11" t="n">
        <v>1</v>
      </c>
      <c r="P97" s="11" t="n">
        <v>0</v>
      </c>
      <c r="Q97" s="11" t="n">
        <v>0</v>
      </c>
      <c r="R97" s="14" t="s">
        <v>484</v>
      </c>
      <c r="S97" s="15" t="n">
        <v>0.5</v>
      </c>
      <c r="T97" s="11" t="s">
        <v>485</v>
      </c>
      <c r="U97" s="14" t="s">
        <v>486</v>
      </c>
      <c r="V97" s="16" t="s">
        <v>56</v>
      </c>
      <c r="W97" s="17" t="s">
        <v>4</v>
      </c>
      <c r="X97" s="17"/>
      <c r="Y97" s="18"/>
      <c r="Z97" s="18"/>
      <c r="AA97" s="17"/>
      <c r="AB97" s="18"/>
    </row>
    <row r="98" customFormat="false" ht="23.85" hidden="false" customHeight="false" outlineLevel="0" collapsed="false">
      <c r="A98" s="11" t="n">
        <v>94</v>
      </c>
      <c r="B98" s="14" t="s">
        <v>487</v>
      </c>
      <c r="C98" s="11" t="s">
        <v>488</v>
      </c>
      <c r="D98" s="11" t="n">
        <v>1.7</v>
      </c>
      <c r="E98" s="11" t="n">
        <v>4</v>
      </c>
      <c r="F98" s="11" t="n">
        <v>2</v>
      </c>
      <c r="G98" s="13" t="n">
        <v>8478</v>
      </c>
      <c r="H98" s="11" t="n">
        <v>1</v>
      </c>
      <c r="I98" s="11" t="n">
        <v>0</v>
      </c>
      <c r="J98" s="11" t="n">
        <v>3</v>
      </c>
      <c r="K98" s="11" t="n">
        <v>0</v>
      </c>
      <c r="L98" s="11" t="n">
        <v>0</v>
      </c>
      <c r="M98" s="11" t="n">
        <v>0</v>
      </c>
      <c r="N98" s="11" t="n">
        <v>2</v>
      </c>
      <c r="O98" s="11" t="n">
        <v>0</v>
      </c>
      <c r="P98" s="11" t="n">
        <v>0</v>
      </c>
      <c r="Q98" s="11" t="n">
        <v>2</v>
      </c>
      <c r="R98" s="14" t="s">
        <v>489</v>
      </c>
      <c r="S98" s="15" t="n">
        <v>0.5</v>
      </c>
      <c r="T98" s="11" t="s">
        <v>490</v>
      </c>
      <c r="U98" s="14" t="s">
        <v>491</v>
      </c>
      <c r="V98" s="16" t="s">
        <v>56</v>
      </c>
      <c r="W98" s="17" t="s">
        <v>4</v>
      </c>
      <c r="X98" s="17"/>
      <c r="Y98" s="18"/>
      <c r="Z98" s="18"/>
      <c r="AA98" s="17"/>
      <c r="AB98" s="18"/>
    </row>
    <row r="99" customFormat="false" ht="23.85" hidden="false" customHeight="false" outlineLevel="0" collapsed="false">
      <c r="A99" s="11" t="n">
        <v>95</v>
      </c>
      <c r="B99" s="14" t="s">
        <v>492</v>
      </c>
      <c r="C99" s="11" t="s">
        <v>493</v>
      </c>
      <c r="D99" s="11" t="n">
        <v>1.7</v>
      </c>
      <c r="E99" s="11" t="n">
        <v>2</v>
      </c>
      <c r="F99" s="11" t="n">
        <v>2</v>
      </c>
      <c r="G99" s="13" t="n">
        <v>80300</v>
      </c>
      <c r="H99" s="11" t="n">
        <v>0</v>
      </c>
      <c r="I99" s="11" t="n">
        <v>2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1</v>
      </c>
      <c r="O99" s="11" t="n">
        <v>1</v>
      </c>
      <c r="P99" s="11" t="n">
        <v>0</v>
      </c>
      <c r="Q99" s="11" t="n">
        <v>0</v>
      </c>
      <c r="R99" s="14" t="s">
        <v>494</v>
      </c>
      <c r="S99" s="15" t="n">
        <v>0.5</v>
      </c>
      <c r="T99" s="11" t="s">
        <v>495</v>
      </c>
      <c r="U99" s="14" t="s">
        <v>496</v>
      </c>
      <c r="V99" s="16" t="s">
        <v>56</v>
      </c>
      <c r="W99" s="17" t="s">
        <v>4</v>
      </c>
      <c r="X99" s="17"/>
      <c r="Y99" s="18"/>
      <c r="Z99" s="18"/>
      <c r="AA99" s="17"/>
      <c r="AB99" s="18"/>
    </row>
    <row r="100" customFormat="false" ht="23.85" hidden="false" customHeight="false" outlineLevel="0" collapsed="false">
      <c r="A100" s="11" t="n">
        <v>96</v>
      </c>
      <c r="B100" s="14" t="s">
        <v>497</v>
      </c>
      <c r="C100" s="11" t="s">
        <v>498</v>
      </c>
      <c r="D100" s="11" t="n">
        <v>1.6</v>
      </c>
      <c r="E100" s="11" t="n">
        <v>2</v>
      </c>
      <c r="F100" s="11" t="n">
        <v>2</v>
      </c>
      <c r="G100" s="13" t="n">
        <v>159650</v>
      </c>
      <c r="H100" s="11" t="n">
        <v>0</v>
      </c>
      <c r="I100" s="11" t="n">
        <v>1</v>
      </c>
      <c r="J100" s="11" t="n">
        <v>1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1</v>
      </c>
      <c r="P100" s="11" t="n">
        <v>1</v>
      </c>
      <c r="Q100" s="11" t="n">
        <v>0</v>
      </c>
      <c r="R100" s="14" t="s">
        <v>499</v>
      </c>
      <c r="S100" s="15" t="n">
        <v>0.5</v>
      </c>
      <c r="T100" s="11" t="s">
        <v>500</v>
      </c>
      <c r="U100" s="14" t="s">
        <v>501</v>
      </c>
      <c r="V100" s="16" t="s">
        <v>56</v>
      </c>
      <c r="W100" s="17" t="s">
        <v>4</v>
      </c>
      <c r="X100" s="17"/>
      <c r="Y100" s="18"/>
      <c r="Z100" s="18"/>
      <c r="AA100" s="17"/>
      <c r="AB100" s="18"/>
    </row>
    <row r="101" customFormat="false" ht="35.05" hidden="false" customHeight="false" outlineLevel="0" collapsed="false">
      <c r="A101" s="11" t="n">
        <v>97</v>
      </c>
      <c r="B101" s="14" t="s">
        <v>502</v>
      </c>
      <c r="C101" s="11" t="s">
        <v>503</v>
      </c>
      <c r="D101" s="11" t="n">
        <v>1.6</v>
      </c>
      <c r="E101" s="11" t="n">
        <v>3</v>
      </c>
      <c r="F101" s="11" t="n">
        <v>2</v>
      </c>
      <c r="G101" s="13" t="n">
        <v>111300</v>
      </c>
      <c r="H101" s="11" t="n">
        <v>0</v>
      </c>
      <c r="I101" s="11" t="n">
        <v>2</v>
      </c>
      <c r="J101" s="11" t="n">
        <v>1</v>
      </c>
      <c r="K101" s="11" t="n">
        <v>0</v>
      </c>
      <c r="L101" s="11" t="n">
        <v>0</v>
      </c>
      <c r="M101" s="11" t="n">
        <v>0</v>
      </c>
      <c r="N101" s="11" t="n">
        <v>1</v>
      </c>
      <c r="O101" s="11" t="n">
        <v>2</v>
      </c>
      <c r="P101" s="11" t="n">
        <v>0</v>
      </c>
      <c r="Q101" s="11" t="n">
        <v>0</v>
      </c>
      <c r="R101" s="14" t="s">
        <v>504</v>
      </c>
      <c r="S101" s="15" t="n">
        <v>0.33</v>
      </c>
      <c r="T101" s="11" t="s">
        <v>505</v>
      </c>
      <c r="U101" s="14" t="s">
        <v>506</v>
      </c>
      <c r="V101" s="16" t="s">
        <v>56</v>
      </c>
      <c r="W101" s="17" t="s">
        <v>4</v>
      </c>
      <c r="X101" s="17"/>
      <c r="Y101" s="18"/>
      <c r="Z101" s="18"/>
      <c r="AA101" s="17"/>
      <c r="AB101" s="18"/>
    </row>
    <row r="102" customFormat="false" ht="23.85" hidden="false" customHeight="false" outlineLevel="0" collapsed="false">
      <c r="A102" s="11" t="n">
        <v>98</v>
      </c>
      <c r="B102" s="14" t="s">
        <v>507</v>
      </c>
      <c r="C102" s="11" t="s">
        <v>508</v>
      </c>
      <c r="D102" s="11" t="n">
        <v>1.6</v>
      </c>
      <c r="E102" s="11" t="n">
        <v>2</v>
      </c>
      <c r="F102" s="11" t="n">
        <v>2</v>
      </c>
      <c r="G102" s="13" t="n">
        <v>48599</v>
      </c>
      <c r="H102" s="11" t="n">
        <v>0</v>
      </c>
      <c r="I102" s="11" t="n">
        <v>1</v>
      </c>
      <c r="J102" s="11" t="n">
        <v>1</v>
      </c>
      <c r="K102" s="11" t="n">
        <v>0</v>
      </c>
      <c r="L102" s="11" t="n">
        <v>0</v>
      </c>
      <c r="M102" s="11" t="n">
        <v>0</v>
      </c>
      <c r="N102" s="11" t="n">
        <v>1</v>
      </c>
      <c r="O102" s="11" t="n">
        <v>1</v>
      </c>
      <c r="P102" s="11" t="n">
        <v>0</v>
      </c>
      <c r="Q102" s="11" t="n">
        <v>0</v>
      </c>
      <c r="R102" s="14" t="s">
        <v>509</v>
      </c>
      <c r="S102" s="15" t="n">
        <v>0.5</v>
      </c>
      <c r="T102" s="11" t="s">
        <v>510</v>
      </c>
      <c r="U102" s="14" t="s">
        <v>511</v>
      </c>
      <c r="V102" s="16" t="s">
        <v>56</v>
      </c>
      <c r="W102" s="17" t="s">
        <v>4</v>
      </c>
      <c r="X102" s="17"/>
      <c r="Y102" s="18"/>
      <c r="Z102" s="18"/>
      <c r="AA102" s="17"/>
      <c r="AB102" s="18"/>
    </row>
    <row r="103" customFormat="false" ht="23.85" hidden="false" customHeight="false" outlineLevel="0" collapsed="false">
      <c r="A103" s="11" t="n">
        <v>99</v>
      </c>
      <c r="B103" s="14" t="s">
        <v>512</v>
      </c>
      <c r="C103" s="11" t="s">
        <v>513</v>
      </c>
      <c r="D103" s="11" t="n">
        <v>1.5</v>
      </c>
      <c r="E103" s="11" t="n">
        <v>3</v>
      </c>
      <c r="F103" s="11" t="n">
        <v>3</v>
      </c>
      <c r="G103" s="13" t="n">
        <v>28425</v>
      </c>
      <c r="H103" s="11" t="n">
        <v>0</v>
      </c>
      <c r="I103" s="11" t="n">
        <v>0</v>
      </c>
      <c r="J103" s="11" t="n">
        <v>3</v>
      </c>
      <c r="K103" s="11" t="n">
        <v>0</v>
      </c>
      <c r="L103" s="11" t="n">
        <v>0</v>
      </c>
      <c r="M103" s="11" t="n">
        <v>0</v>
      </c>
      <c r="N103" s="11" t="n">
        <v>2</v>
      </c>
      <c r="O103" s="11" t="n">
        <v>1</v>
      </c>
      <c r="P103" s="11" t="n">
        <v>0</v>
      </c>
      <c r="Q103" s="11" t="n">
        <v>0</v>
      </c>
      <c r="R103" s="14" t="s">
        <v>514</v>
      </c>
      <c r="S103" s="15" t="n">
        <v>0.67</v>
      </c>
      <c r="T103" s="11" t="s">
        <v>197</v>
      </c>
      <c r="U103" s="14" t="s">
        <v>515</v>
      </c>
      <c r="V103" s="16" t="s">
        <v>56</v>
      </c>
      <c r="W103" s="17" t="s">
        <v>4</v>
      </c>
      <c r="X103" s="17"/>
      <c r="Y103" s="18"/>
      <c r="Z103" s="18"/>
      <c r="AA103" s="17"/>
      <c r="AB103" s="18"/>
    </row>
    <row r="104" customFormat="false" ht="15" hidden="false" customHeight="false" outlineLevel="0" collapsed="false">
      <c r="A104" s="11" t="n">
        <v>100</v>
      </c>
      <c r="B104" s="14" t="s">
        <v>516</v>
      </c>
      <c r="C104" s="11" t="s">
        <v>517</v>
      </c>
      <c r="D104" s="11" t="n">
        <v>1.5</v>
      </c>
      <c r="E104" s="11" t="n">
        <v>3</v>
      </c>
      <c r="F104" s="11" t="n">
        <v>3</v>
      </c>
      <c r="G104" s="13" t="n">
        <v>16113</v>
      </c>
      <c r="H104" s="11" t="n">
        <v>0</v>
      </c>
      <c r="I104" s="11" t="n">
        <v>0</v>
      </c>
      <c r="J104" s="11" t="n">
        <v>3</v>
      </c>
      <c r="K104" s="11" t="n">
        <v>0</v>
      </c>
      <c r="L104" s="11" t="n">
        <v>0</v>
      </c>
      <c r="M104" s="11" t="n">
        <v>0</v>
      </c>
      <c r="N104" s="11" t="n">
        <v>3</v>
      </c>
      <c r="O104" s="11" t="n">
        <v>0</v>
      </c>
      <c r="P104" s="11" t="n">
        <v>0</v>
      </c>
      <c r="Q104" s="11" t="n">
        <v>0</v>
      </c>
      <c r="R104" s="14" t="s">
        <v>518</v>
      </c>
      <c r="S104" s="15" t="n">
        <v>1</v>
      </c>
      <c r="T104" s="11" t="s">
        <v>519</v>
      </c>
      <c r="U104" s="14" t="s">
        <v>339</v>
      </c>
      <c r="V104" s="16" t="s">
        <v>56</v>
      </c>
      <c r="W104" s="17" t="s">
        <v>4</v>
      </c>
      <c r="X104" s="17"/>
      <c r="Y104" s="18"/>
      <c r="Z104" s="18"/>
      <c r="AA104" s="17"/>
      <c r="AB104" s="18"/>
    </row>
    <row r="105" customFormat="false" ht="15" hidden="false" customHeight="false" outlineLevel="0" collapsed="false">
      <c r="A105" s="11" t="n">
        <v>101</v>
      </c>
      <c r="B105" s="14" t="s">
        <v>520</v>
      </c>
      <c r="C105" s="11" t="s">
        <v>521</v>
      </c>
      <c r="D105" s="11" t="n">
        <v>1.5</v>
      </c>
      <c r="E105" s="11" t="n">
        <v>3</v>
      </c>
      <c r="F105" s="11" t="n">
        <v>3</v>
      </c>
      <c r="G105" s="13" t="n">
        <v>8888</v>
      </c>
      <c r="H105" s="11" t="n">
        <v>0</v>
      </c>
      <c r="I105" s="11" t="n">
        <v>0</v>
      </c>
      <c r="J105" s="11" t="n">
        <v>3</v>
      </c>
      <c r="K105" s="11" t="n">
        <v>0</v>
      </c>
      <c r="L105" s="11" t="n">
        <v>0</v>
      </c>
      <c r="M105" s="11" t="n">
        <v>0</v>
      </c>
      <c r="N105" s="11" t="n">
        <v>3</v>
      </c>
      <c r="O105" s="11" t="n">
        <v>0</v>
      </c>
      <c r="P105" s="11" t="n">
        <v>0</v>
      </c>
      <c r="Q105" s="11" t="n">
        <v>0</v>
      </c>
      <c r="R105" s="14" t="s">
        <v>522</v>
      </c>
      <c r="S105" s="15" t="n">
        <v>0.67</v>
      </c>
      <c r="T105" s="11" t="s">
        <v>523</v>
      </c>
      <c r="U105" s="14" t="s">
        <v>524</v>
      </c>
      <c r="V105" s="16" t="s">
        <v>56</v>
      </c>
      <c r="W105" s="17" t="s">
        <v>4</v>
      </c>
      <c r="X105" s="17"/>
      <c r="Y105" s="18"/>
      <c r="Z105" s="18"/>
      <c r="AA105" s="17"/>
      <c r="AB105" s="18"/>
    </row>
    <row r="106" customFormat="false" ht="35.05" hidden="false" customHeight="false" outlineLevel="0" collapsed="false">
      <c r="A106" s="11" t="n">
        <v>102</v>
      </c>
      <c r="B106" s="14" t="s">
        <v>525</v>
      </c>
      <c r="C106" s="11" t="s">
        <v>526</v>
      </c>
      <c r="D106" s="11" t="n">
        <v>1.5</v>
      </c>
      <c r="E106" s="11" t="n">
        <v>3</v>
      </c>
      <c r="F106" s="11" t="n">
        <v>2</v>
      </c>
      <c r="G106" s="13" t="n">
        <v>64283</v>
      </c>
      <c r="H106" s="11" t="n">
        <v>0</v>
      </c>
      <c r="I106" s="11" t="n">
        <v>1</v>
      </c>
      <c r="J106" s="11" t="n">
        <v>2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2</v>
      </c>
      <c r="P106" s="11" t="n">
        <v>1</v>
      </c>
      <c r="Q106" s="11" t="n">
        <v>0</v>
      </c>
      <c r="R106" s="14" t="s">
        <v>527</v>
      </c>
      <c r="S106" s="15" t="n">
        <v>0.33</v>
      </c>
      <c r="T106" s="11" t="s">
        <v>202</v>
      </c>
      <c r="U106" s="14" t="s">
        <v>528</v>
      </c>
      <c r="V106" s="16" t="s">
        <v>56</v>
      </c>
      <c r="W106" s="17" t="s">
        <v>4</v>
      </c>
      <c r="X106" s="17"/>
      <c r="Y106" s="18"/>
      <c r="Z106" s="18"/>
      <c r="AA106" s="17"/>
      <c r="AB106" s="18"/>
    </row>
    <row r="107" customFormat="false" ht="35.05" hidden="false" customHeight="false" outlineLevel="0" collapsed="false">
      <c r="A107" s="11" t="n">
        <v>103</v>
      </c>
      <c r="B107" s="14" t="s">
        <v>529</v>
      </c>
      <c r="C107" s="11" t="s">
        <v>530</v>
      </c>
      <c r="D107" s="11" t="n">
        <v>1.5</v>
      </c>
      <c r="E107" s="11" t="n">
        <v>4</v>
      </c>
      <c r="F107" s="11" t="n">
        <v>2</v>
      </c>
      <c r="G107" s="13" t="n">
        <v>49188</v>
      </c>
      <c r="H107" s="11" t="n">
        <v>0</v>
      </c>
      <c r="I107" s="11" t="n">
        <v>1</v>
      </c>
      <c r="J107" s="11" t="n">
        <v>3</v>
      </c>
      <c r="K107" s="11" t="n">
        <v>0</v>
      </c>
      <c r="L107" s="11" t="n">
        <v>0</v>
      </c>
      <c r="M107" s="11" t="n">
        <v>0</v>
      </c>
      <c r="N107" s="11" t="n">
        <v>1</v>
      </c>
      <c r="O107" s="11" t="n">
        <v>1</v>
      </c>
      <c r="P107" s="11" t="n">
        <v>1</v>
      </c>
      <c r="Q107" s="11" t="n">
        <v>1</v>
      </c>
      <c r="R107" s="14" t="s">
        <v>531</v>
      </c>
      <c r="S107" s="15" t="n">
        <v>0.5</v>
      </c>
      <c r="T107" s="11" t="s">
        <v>532</v>
      </c>
      <c r="U107" s="14" t="s">
        <v>528</v>
      </c>
      <c r="V107" s="16" t="s">
        <v>56</v>
      </c>
      <c r="W107" s="17" t="s">
        <v>4</v>
      </c>
      <c r="X107" s="17"/>
      <c r="Y107" s="18"/>
      <c r="Z107" s="18"/>
      <c r="AA107" s="17"/>
      <c r="AB107" s="18"/>
    </row>
    <row r="108" customFormat="false" ht="35.05" hidden="false" customHeight="false" outlineLevel="0" collapsed="false">
      <c r="A108" s="11" t="n">
        <v>104</v>
      </c>
      <c r="B108" s="14" t="s">
        <v>533</v>
      </c>
      <c r="C108" s="11" t="s">
        <v>534</v>
      </c>
      <c r="D108" s="11" t="n">
        <v>1.5</v>
      </c>
      <c r="E108" s="11" t="n">
        <v>1</v>
      </c>
      <c r="F108" s="11" t="n">
        <v>1</v>
      </c>
      <c r="G108" s="13" t="n">
        <v>6861</v>
      </c>
      <c r="H108" s="11" t="n">
        <v>1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1</v>
      </c>
      <c r="N108" s="11" t="n">
        <v>1</v>
      </c>
      <c r="O108" s="11" t="n">
        <v>0</v>
      </c>
      <c r="P108" s="11" t="n">
        <v>0</v>
      </c>
      <c r="Q108" s="11" t="n">
        <v>0</v>
      </c>
      <c r="R108" s="14" t="s">
        <v>535</v>
      </c>
      <c r="S108" s="15" t="n">
        <v>1</v>
      </c>
      <c r="T108" s="11" t="s">
        <v>438</v>
      </c>
      <c r="U108" s="14" t="s">
        <v>536</v>
      </c>
      <c r="V108" s="16" t="s">
        <v>56</v>
      </c>
      <c r="W108" s="17" t="s">
        <v>4</v>
      </c>
      <c r="X108" s="17"/>
      <c r="Y108" s="18"/>
      <c r="Z108" s="18"/>
      <c r="AA108" s="17"/>
      <c r="AB108" s="18"/>
    </row>
    <row r="109" customFormat="false" ht="23.85" hidden="false" customHeight="false" outlineLevel="0" collapsed="false">
      <c r="A109" s="11" t="n">
        <v>105</v>
      </c>
      <c r="B109" s="14" t="s">
        <v>537</v>
      </c>
      <c r="C109" s="11" t="s">
        <v>538</v>
      </c>
      <c r="D109" s="11" t="n">
        <v>1.5</v>
      </c>
      <c r="E109" s="11" t="n">
        <v>3</v>
      </c>
      <c r="F109" s="11" t="n">
        <v>3</v>
      </c>
      <c r="G109" s="13" t="n">
        <v>59777</v>
      </c>
      <c r="H109" s="11" t="n">
        <v>0</v>
      </c>
      <c r="I109" s="11" t="n">
        <v>0</v>
      </c>
      <c r="J109" s="11" t="n">
        <v>3</v>
      </c>
      <c r="K109" s="11" t="n">
        <v>0</v>
      </c>
      <c r="L109" s="11" t="n">
        <v>0</v>
      </c>
      <c r="M109" s="11" t="n">
        <v>0</v>
      </c>
      <c r="N109" s="11" t="n">
        <v>2</v>
      </c>
      <c r="O109" s="11" t="n">
        <v>1</v>
      </c>
      <c r="P109" s="11" t="n">
        <v>0</v>
      </c>
      <c r="Q109" s="11" t="n">
        <v>0</v>
      </c>
      <c r="R109" s="14" t="s">
        <v>539</v>
      </c>
      <c r="S109" s="15" t="n">
        <v>0.67</v>
      </c>
      <c r="T109" s="11" t="s">
        <v>540</v>
      </c>
      <c r="U109" s="14" t="s">
        <v>541</v>
      </c>
      <c r="V109" s="16" t="s">
        <v>56</v>
      </c>
      <c r="W109" s="17" t="s">
        <v>4</v>
      </c>
      <c r="X109" s="17"/>
      <c r="Y109" s="18"/>
      <c r="Z109" s="18"/>
      <c r="AA109" s="17"/>
      <c r="AB109" s="18"/>
    </row>
    <row r="110" customFormat="false" ht="23.85" hidden="false" customHeight="false" outlineLevel="0" collapsed="false">
      <c r="A110" s="11" t="n">
        <v>106</v>
      </c>
      <c r="B110" s="14" t="s">
        <v>542</v>
      </c>
      <c r="C110" s="11" t="s">
        <v>543</v>
      </c>
      <c r="D110" s="11" t="n">
        <v>1.5</v>
      </c>
      <c r="E110" s="11" t="n">
        <v>3</v>
      </c>
      <c r="F110" s="11" t="n">
        <v>3</v>
      </c>
      <c r="G110" s="13" t="n">
        <v>29734</v>
      </c>
      <c r="H110" s="11" t="n">
        <v>0</v>
      </c>
      <c r="I110" s="11" t="n">
        <v>0</v>
      </c>
      <c r="J110" s="11" t="n">
        <v>3</v>
      </c>
      <c r="K110" s="11" t="n">
        <v>0</v>
      </c>
      <c r="L110" s="11" t="n">
        <v>0</v>
      </c>
      <c r="M110" s="11" t="n">
        <v>0</v>
      </c>
      <c r="N110" s="11" t="n">
        <v>3</v>
      </c>
      <c r="O110" s="11" t="n">
        <v>0</v>
      </c>
      <c r="P110" s="11" t="n">
        <v>0</v>
      </c>
      <c r="Q110" s="11" t="n">
        <v>0</v>
      </c>
      <c r="R110" s="14" t="s">
        <v>544</v>
      </c>
      <c r="S110" s="15" t="n">
        <v>0.67</v>
      </c>
      <c r="T110" s="11" t="s">
        <v>545</v>
      </c>
      <c r="U110" s="14" t="s">
        <v>546</v>
      </c>
      <c r="V110" s="16" t="s">
        <v>56</v>
      </c>
      <c r="W110" s="17" t="s">
        <v>4</v>
      </c>
      <c r="X110" s="17"/>
      <c r="Y110" s="18"/>
      <c r="Z110" s="18"/>
      <c r="AA110" s="17"/>
      <c r="AB110" s="18"/>
    </row>
    <row r="111" customFormat="false" ht="23.85" hidden="false" customHeight="false" outlineLevel="0" collapsed="false">
      <c r="A111" s="11" t="n">
        <v>107</v>
      </c>
      <c r="B111" s="14" t="s">
        <v>547</v>
      </c>
      <c r="C111" s="11" t="s">
        <v>548</v>
      </c>
      <c r="D111" s="11" t="n">
        <v>1.5</v>
      </c>
      <c r="E111" s="11" t="n">
        <v>3</v>
      </c>
      <c r="F111" s="11" t="n">
        <v>3</v>
      </c>
      <c r="G111" s="13" t="n">
        <v>33819</v>
      </c>
      <c r="H111" s="11" t="n">
        <v>0</v>
      </c>
      <c r="I111" s="11" t="n">
        <v>0</v>
      </c>
      <c r="J111" s="11" t="n">
        <v>3</v>
      </c>
      <c r="K111" s="11" t="n">
        <v>0</v>
      </c>
      <c r="L111" s="11" t="n">
        <v>0</v>
      </c>
      <c r="M111" s="11" t="n">
        <v>0</v>
      </c>
      <c r="N111" s="11" t="n">
        <v>2</v>
      </c>
      <c r="O111" s="11" t="n">
        <v>1</v>
      </c>
      <c r="P111" s="11" t="n">
        <v>0</v>
      </c>
      <c r="Q111" s="11" t="n">
        <v>0</v>
      </c>
      <c r="R111" s="14" t="s">
        <v>549</v>
      </c>
      <c r="S111" s="15" t="n">
        <v>0.67</v>
      </c>
      <c r="T111" s="11" t="s">
        <v>550</v>
      </c>
      <c r="U111" s="14" t="s">
        <v>551</v>
      </c>
      <c r="V111" s="16" t="s">
        <v>56</v>
      </c>
      <c r="W111" s="17" t="s">
        <v>4</v>
      </c>
      <c r="X111" s="17"/>
      <c r="Y111" s="18"/>
      <c r="Z111" s="18"/>
      <c r="AA111" s="17"/>
      <c r="AB111" s="18"/>
    </row>
    <row r="112" customFormat="false" ht="35.05" hidden="false" customHeight="false" outlineLevel="0" collapsed="false">
      <c r="A112" s="11" t="n">
        <v>108</v>
      </c>
      <c r="B112" s="14" t="s">
        <v>552</v>
      </c>
      <c r="C112" s="11" t="s">
        <v>553</v>
      </c>
      <c r="D112" s="11" t="n">
        <v>1.5</v>
      </c>
      <c r="E112" s="11" t="n">
        <v>1</v>
      </c>
      <c r="F112" s="11" t="n">
        <v>1</v>
      </c>
      <c r="G112" s="13" t="n">
        <v>20219</v>
      </c>
      <c r="H112" s="11" t="n">
        <v>1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</v>
      </c>
      <c r="N112" s="11" t="n">
        <v>0</v>
      </c>
      <c r="O112" s="11" t="n">
        <v>1</v>
      </c>
      <c r="P112" s="11" t="n">
        <v>0</v>
      </c>
      <c r="Q112" s="11" t="n">
        <v>0</v>
      </c>
      <c r="R112" s="14" t="s">
        <v>554</v>
      </c>
      <c r="S112" s="15" t="n">
        <v>1</v>
      </c>
      <c r="T112" s="11" t="s">
        <v>555</v>
      </c>
      <c r="U112" s="14" t="s">
        <v>556</v>
      </c>
      <c r="V112" s="16" t="s">
        <v>56</v>
      </c>
      <c r="W112" s="17" t="s">
        <v>4</v>
      </c>
      <c r="X112" s="17"/>
      <c r="Y112" s="18"/>
      <c r="Z112" s="18"/>
      <c r="AA112" s="17"/>
      <c r="AB112" s="18"/>
    </row>
    <row r="113" customFormat="false" ht="23.85" hidden="false" customHeight="false" outlineLevel="0" collapsed="false">
      <c r="A113" s="11" t="n">
        <v>109</v>
      </c>
      <c r="B113" s="14" t="s">
        <v>557</v>
      </c>
      <c r="C113" s="11" t="s">
        <v>558</v>
      </c>
      <c r="D113" s="11" t="n">
        <v>1.5</v>
      </c>
      <c r="E113" s="11" t="n">
        <v>1</v>
      </c>
      <c r="F113" s="11" t="n">
        <v>1</v>
      </c>
      <c r="G113" s="13" t="n">
        <v>5280</v>
      </c>
      <c r="H113" s="11" t="n">
        <v>1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1</v>
      </c>
      <c r="N113" s="11" t="n">
        <v>1</v>
      </c>
      <c r="O113" s="11" t="n">
        <v>0</v>
      </c>
      <c r="P113" s="11" t="n">
        <v>0</v>
      </c>
      <c r="Q113" s="11" t="n">
        <v>0</v>
      </c>
      <c r="R113" s="14" t="s">
        <v>559</v>
      </c>
      <c r="S113" s="15" t="n">
        <v>1</v>
      </c>
      <c r="T113" s="11" t="s">
        <v>448</v>
      </c>
      <c r="U113" s="14" t="s">
        <v>560</v>
      </c>
      <c r="V113" s="16" t="s">
        <v>56</v>
      </c>
      <c r="W113" s="17" t="s">
        <v>4</v>
      </c>
      <c r="X113" s="17"/>
      <c r="Y113" s="18"/>
      <c r="Z113" s="18"/>
      <c r="AA113" s="17"/>
      <c r="AB113" s="18"/>
    </row>
    <row r="114" customFormat="false" ht="35.05" hidden="false" customHeight="false" outlineLevel="0" collapsed="false">
      <c r="A114" s="11" t="n">
        <v>110</v>
      </c>
      <c r="B114" s="14" t="s">
        <v>561</v>
      </c>
      <c r="C114" s="11" t="s">
        <v>562</v>
      </c>
      <c r="D114" s="11" t="n">
        <v>1.4</v>
      </c>
      <c r="E114" s="11" t="n">
        <v>2</v>
      </c>
      <c r="F114" s="11" t="n">
        <v>2</v>
      </c>
      <c r="G114" s="13" t="n">
        <v>11365</v>
      </c>
      <c r="H114" s="11" t="n">
        <v>0</v>
      </c>
      <c r="I114" s="11" t="n">
        <v>0</v>
      </c>
      <c r="J114" s="11" t="n">
        <v>2</v>
      </c>
      <c r="K114" s="11" t="n">
        <v>0</v>
      </c>
      <c r="L114" s="11" t="n">
        <v>0</v>
      </c>
      <c r="M114" s="11" t="n">
        <v>0</v>
      </c>
      <c r="N114" s="11" t="n">
        <v>2</v>
      </c>
      <c r="O114" s="11" t="n">
        <v>0</v>
      </c>
      <c r="P114" s="11" t="n">
        <v>0</v>
      </c>
      <c r="Q114" s="11" t="n">
        <v>0</v>
      </c>
      <c r="R114" s="14" t="s">
        <v>563</v>
      </c>
      <c r="S114" s="15" t="n">
        <v>0.5</v>
      </c>
      <c r="T114" s="11" t="s">
        <v>80</v>
      </c>
      <c r="U114" s="14" t="s">
        <v>564</v>
      </c>
      <c r="V114" s="16" t="s">
        <v>56</v>
      </c>
      <c r="W114" s="17" t="s">
        <v>4</v>
      </c>
      <c r="X114" s="17"/>
      <c r="Y114" s="18"/>
      <c r="Z114" s="18"/>
      <c r="AA114" s="17"/>
      <c r="AB114" s="18"/>
    </row>
    <row r="115" customFormat="false" ht="35.05" hidden="false" customHeight="false" outlineLevel="0" collapsed="false">
      <c r="A115" s="11" t="n">
        <v>111</v>
      </c>
      <c r="B115" s="14" t="s">
        <v>565</v>
      </c>
      <c r="C115" s="11" t="s">
        <v>566</v>
      </c>
      <c r="D115" s="11" t="n">
        <v>1.4</v>
      </c>
      <c r="E115" s="11" t="n">
        <v>2</v>
      </c>
      <c r="F115" s="11" t="n">
        <v>2</v>
      </c>
      <c r="G115" s="13" t="n">
        <v>42561</v>
      </c>
      <c r="H115" s="11" t="n">
        <v>0</v>
      </c>
      <c r="I115" s="11" t="n">
        <v>0</v>
      </c>
      <c r="J115" s="11" t="n">
        <v>2</v>
      </c>
      <c r="K115" s="11" t="n">
        <v>0</v>
      </c>
      <c r="L115" s="11" t="n">
        <v>0</v>
      </c>
      <c r="M115" s="11" t="n">
        <v>0</v>
      </c>
      <c r="N115" s="11" t="n">
        <v>1</v>
      </c>
      <c r="O115" s="11" t="n">
        <v>1</v>
      </c>
      <c r="P115" s="11" t="n">
        <v>0</v>
      </c>
      <c r="Q115" s="11" t="n">
        <v>0</v>
      </c>
      <c r="R115" s="14" t="s">
        <v>567</v>
      </c>
      <c r="S115" s="15" t="n">
        <v>0.5</v>
      </c>
      <c r="T115" s="11" t="s">
        <v>568</v>
      </c>
      <c r="U115" s="14" t="s">
        <v>569</v>
      </c>
      <c r="V115" s="16" t="s">
        <v>56</v>
      </c>
      <c r="W115" s="17" t="s">
        <v>4</v>
      </c>
      <c r="X115" s="17"/>
      <c r="Y115" s="18"/>
      <c r="Z115" s="18"/>
      <c r="AA115" s="17"/>
      <c r="AB115" s="18"/>
    </row>
    <row r="116" customFormat="false" ht="23.85" hidden="false" customHeight="false" outlineLevel="0" collapsed="false">
      <c r="A116" s="11" t="n">
        <v>112</v>
      </c>
      <c r="B116" s="14" t="s">
        <v>570</v>
      </c>
      <c r="C116" s="11" t="s">
        <v>571</v>
      </c>
      <c r="D116" s="11" t="n">
        <v>1.4</v>
      </c>
      <c r="E116" s="11" t="n">
        <v>2</v>
      </c>
      <c r="F116" s="11" t="n">
        <v>2</v>
      </c>
      <c r="G116" s="13" t="n">
        <v>1728</v>
      </c>
      <c r="H116" s="11" t="n">
        <v>0</v>
      </c>
      <c r="I116" s="11" t="n">
        <v>0</v>
      </c>
      <c r="J116" s="11" t="n">
        <v>2</v>
      </c>
      <c r="K116" s="11" t="n">
        <v>0</v>
      </c>
      <c r="L116" s="11" t="n">
        <v>0</v>
      </c>
      <c r="M116" s="11" t="n">
        <v>0</v>
      </c>
      <c r="N116" s="11" t="n">
        <v>2</v>
      </c>
      <c r="O116" s="11" t="n">
        <v>0</v>
      </c>
      <c r="P116" s="11" t="n">
        <v>0</v>
      </c>
      <c r="Q116" s="11" t="n">
        <v>0</v>
      </c>
      <c r="R116" s="14" t="s">
        <v>572</v>
      </c>
      <c r="S116" s="15" t="n">
        <v>0.5</v>
      </c>
      <c r="T116" s="11" t="s">
        <v>122</v>
      </c>
      <c r="U116" s="14" t="s">
        <v>573</v>
      </c>
      <c r="V116" s="16" t="s">
        <v>56</v>
      </c>
      <c r="W116" s="17" t="s">
        <v>4</v>
      </c>
      <c r="X116" s="17"/>
      <c r="Y116" s="18"/>
      <c r="Z116" s="18"/>
      <c r="AA116" s="17"/>
      <c r="AB116" s="18"/>
    </row>
    <row r="117" customFormat="false" ht="35.05" hidden="false" customHeight="false" outlineLevel="0" collapsed="false">
      <c r="A117" s="11" t="n">
        <v>113</v>
      </c>
      <c r="B117" s="14" t="s">
        <v>574</v>
      </c>
      <c r="C117" s="11" t="s">
        <v>575</v>
      </c>
      <c r="D117" s="11" t="n">
        <v>1.4</v>
      </c>
      <c r="E117" s="11" t="n">
        <v>2</v>
      </c>
      <c r="F117" s="11" t="n">
        <v>2</v>
      </c>
      <c r="G117" s="13" t="n">
        <v>118400</v>
      </c>
      <c r="H117" s="11" t="n">
        <v>0</v>
      </c>
      <c r="I117" s="11" t="n">
        <v>0</v>
      </c>
      <c r="J117" s="11" t="n">
        <v>2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2</v>
      </c>
      <c r="P117" s="11" t="n">
        <v>0</v>
      </c>
      <c r="Q117" s="11" t="n">
        <v>0</v>
      </c>
      <c r="R117" s="14" t="s">
        <v>576</v>
      </c>
      <c r="S117" s="15" t="n">
        <v>0.5</v>
      </c>
      <c r="T117" s="11" t="s">
        <v>122</v>
      </c>
      <c r="U117" s="14" t="s">
        <v>577</v>
      </c>
      <c r="V117" s="16" t="s">
        <v>56</v>
      </c>
      <c r="W117" s="17" t="s">
        <v>4</v>
      </c>
      <c r="X117" s="17"/>
      <c r="Y117" s="18"/>
      <c r="Z117" s="18"/>
      <c r="AA117" s="17"/>
      <c r="AB117" s="18"/>
    </row>
    <row r="118" customFormat="false" ht="35.05" hidden="false" customHeight="false" outlineLevel="0" collapsed="false">
      <c r="A118" s="11" t="n">
        <v>114</v>
      </c>
      <c r="B118" s="14" t="s">
        <v>578</v>
      </c>
      <c r="C118" s="11" t="s">
        <v>579</v>
      </c>
      <c r="D118" s="11" t="n">
        <v>1.4</v>
      </c>
      <c r="E118" s="11" t="n">
        <v>2</v>
      </c>
      <c r="F118" s="11" t="n">
        <v>2</v>
      </c>
      <c r="G118" s="13" t="n">
        <v>77138</v>
      </c>
      <c r="H118" s="11" t="n">
        <v>0</v>
      </c>
      <c r="I118" s="11" t="n">
        <v>0</v>
      </c>
      <c r="J118" s="11" t="n">
        <v>2</v>
      </c>
      <c r="K118" s="11" t="n">
        <v>0</v>
      </c>
      <c r="L118" s="11" t="n">
        <v>0</v>
      </c>
      <c r="M118" s="11" t="n">
        <v>0</v>
      </c>
      <c r="N118" s="11" t="n">
        <v>1</v>
      </c>
      <c r="O118" s="11" t="n">
        <v>1</v>
      </c>
      <c r="P118" s="11" t="n">
        <v>0</v>
      </c>
      <c r="Q118" s="11" t="n">
        <v>0</v>
      </c>
      <c r="R118" s="14" t="s">
        <v>580</v>
      </c>
      <c r="S118" s="15" t="n">
        <v>0.5</v>
      </c>
      <c r="T118" s="11" t="s">
        <v>581</v>
      </c>
      <c r="U118" s="14" t="s">
        <v>582</v>
      </c>
      <c r="V118" s="16" t="s">
        <v>56</v>
      </c>
      <c r="W118" s="17" t="s">
        <v>4</v>
      </c>
      <c r="X118" s="17"/>
      <c r="Y118" s="18"/>
      <c r="Z118" s="18"/>
      <c r="AA118" s="17"/>
      <c r="AB118" s="18"/>
    </row>
    <row r="119" customFormat="false" ht="46.25" hidden="false" customHeight="false" outlineLevel="0" collapsed="false">
      <c r="A119" s="11" t="n">
        <v>115</v>
      </c>
      <c r="B119" s="14" t="s">
        <v>583</v>
      </c>
      <c r="C119" s="11" t="s">
        <v>584</v>
      </c>
      <c r="D119" s="11" t="n">
        <v>1.4</v>
      </c>
      <c r="E119" s="11" t="n">
        <v>2</v>
      </c>
      <c r="F119" s="11" t="n">
        <v>2</v>
      </c>
      <c r="G119" s="13" t="n">
        <v>8238</v>
      </c>
      <c r="H119" s="11" t="n">
        <v>0</v>
      </c>
      <c r="I119" s="11" t="n">
        <v>0</v>
      </c>
      <c r="J119" s="11" t="n">
        <v>2</v>
      </c>
      <c r="K119" s="11" t="n">
        <v>0</v>
      </c>
      <c r="L119" s="11" t="n">
        <v>0</v>
      </c>
      <c r="M119" s="11" t="n">
        <v>0</v>
      </c>
      <c r="N119" s="11" t="n">
        <v>2</v>
      </c>
      <c r="O119" s="11" t="n">
        <v>0</v>
      </c>
      <c r="P119" s="11" t="n">
        <v>0</v>
      </c>
      <c r="Q119" s="11" t="n">
        <v>0</v>
      </c>
      <c r="R119" s="14" t="s">
        <v>585</v>
      </c>
      <c r="S119" s="15" t="n">
        <v>0.5</v>
      </c>
      <c r="T119" s="11" t="s">
        <v>586</v>
      </c>
      <c r="U119" s="14" t="s">
        <v>587</v>
      </c>
      <c r="V119" s="16" t="s">
        <v>56</v>
      </c>
      <c r="W119" s="17" t="s">
        <v>4</v>
      </c>
      <c r="X119" s="17"/>
      <c r="Y119" s="18"/>
      <c r="Z119" s="18"/>
      <c r="AA119" s="17"/>
      <c r="AB119" s="18"/>
    </row>
    <row r="120" customFormat="false" ht="35.05" hidden="false" customHeight="false" outlineLevel="0" collapsed="false">
      <c r="A120" s="11" t="n">
        <v>116</v>
      </c>
      <c r="B120" s="14" t="s">
        <v>588</v>
      </c>
      <c r="C120" s="11" t="s">
        <v>589</v>
      </c>
      <c r="D120" s="11" t="n">
        <v>1.4</v>
      </c>
      <c r="E120" s="11" t="n">
        <v>4</v>
      </c>
      <c r="F120" s="11" t="n">
        <v>2</v>
      </c>
      <c r="G120" s="13" t="n">
        <v>15833</v>
      </c>
      <c r="H120" s="11" t="n">
        <v>0</v>
      </c>
      <c r="I120" s="11" t="n">
        <v>0</v>
      </c>
      <c r="J120" s="11" t="n">
        <v>4</v>
      </c>
      <c r="K120" s="11" t="n">
        <v>0</v>
      </c>
      <c r="L120" s="11" t="n">
        <v>0</v>
      </c>
      <c r="M120" s="11" t="n">
        <v>0</v>
      </c>
      <c r="N120" s="11" t="n">
        <v>2</v>
      </c>
      <c r="O120" s="11" t="n">
        <v>0</v>
      </c>
      <c r="P120" s="11" t="n">
        <v>0</v>
      </c>
      <c r="Q120" s="11" t="n">
        <v>2</v>
      </c>
      <c r="R120" s="14" t="s">
        <v>590</v>
      </c>
      <c r="S120" s="15" t="n">
        <v>0.5</v>
      </c>
      <c r="T120" s="11" t="s">
        <v>591</v>
      </c>
      <c r="U120" s="14" t="s">
        <v>592</v>
      </c>
      <c r="V120" s="16" t="s">
        <v>56</v>
      </c>
      <c r="W120" s="17" t="s">
        <v>4</v>
      </c>
      <c r="X120" s="17"/>
      <c r="Y120" s="18"/>
      <c r="Z120" s="18"/>
      <c r="AA120" s="17"/>
      <c r="AB120" s="18"/>
    </row>
    <row r="121" customFormat="false" ht="23.85" hidden="false" customHeight="false" outlineLevel="0" collapsed="false">
      <c r="A121" s="11" t="n">
        <v>117</v>
      </c>
      <c r="B121" s="14" t="s">
        <v>593</v>
      </c>
      <c r="C121" s="11" t="s">
        <v>594</v>
      </c>
      <c r="D121" s="11" t="n">
        <v>1.4</v>
      </c>
      <c r="E121" s="11" t="n">
        <v>2</v>
      </c>
      <c r="F121" s="11" t="n">
        <v>2</v>
      </c>
      <c r="G121" s="13" t="n">
        <v>19257</v>
      </c>
      <c r="H121" s="11" t="n">
        <v>0</v>
      </c>
      <c r="I121" s="11" t="n">
        <v>0</v>
      </c>
      <c r="J121" s="11" t="n">
        <v>2</v>
      </c>
      <c r="K121" s="11" t="n">
        <v>0</v>
      </c>
      <c r="L121" s="11" t="n">
        <v>0</v>
      </c>
      <c r="M121" s="11" t="n">
        <v>0</v>
      </c>
      <c r="N121" s="11" t="n">
        <v>2</v>
      </c>
      <c r="O121" s="11" t="n">
        <v>0</v>
      </c>
      <c r="P121" s="11" t="n">
        <v>0</v>
      </c>
      <c r="Q121" s="11" t="n">
        <v>0</v>
      </c>
      <c r="R121" s="14" t="s">
        <v>595</v>
      </c>
      <c r="S121" s="15" t="n">
        <v>0.5</v>
      </c>
      <c r="T121" s="11" t="s">
        <v>596</v>
      </c>
      <c r="U121" s="14" t="s">
        <v>597</v>
      </c>
      <c r="V121" s="16" t="s">
        <v>56</v>
      </c>
      <c r="W121" s="17" t="s">
        <v>4</v>
      </c>
      <c r="X121" s="17"/>
      <c r="Y121" s="18"/>
      <c r="Z121" s="18"/>
      <c r="AA121" s="17"/>
      <c r="AB121" s="18"/>
    </row>
    <row r="122" customFormat="false" ht="35.05" hidden="false" customHeight="false" outlineLevel="0" collapsed="false">
      <c r="A122" s="11" t="n">
        <v>118</v>
      </c>
      <c r="B122" s="14" t="s">
        <v>598</v>
      </c>
      <c r="C122" s="11" t="s">
        <v>599</v>
      </c>
      <c r="D122" s="11" t="n">
        <v>1.2</v>
      </c>
      <c r="E122" s="11" t="n">
        <v>2</v>
      </c>
      <c r="F122" s="11" t="n">
        <v>2</v>
      </c>
      <c r="G122" s="13" t="n">
        <v>244800</v>
      </c>
      <c r="H122" s="11" t="n">
        <v>0</v>
      </c>
      <c r="I122" s="11" t="n">
        <v>2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2</v>
      </c>
      <c r="Q122" s="11" t="n">
        <v>0</v>
      </c>
      <c r="R122" s="14" t="s">
        <v>600</v>
      </c>
      <c r="S122" s="15" t="n">
        <v>1</v>
      </c>
      <c r="T122" s="11" t="s">
        <v>601</v>
      </c>
      <c r="U122" s="14" t="s">
        <v>602</v>
      </c>
      <c r="V122" s="16" t="s">
        <v>56</v>
      </c>
      <c r="W122" s="17" t="s">
        <v>4</v>
      </c>
      <c r="X122" s="17"/>
      <c r="Y122" s="18"/>
      <c r="Z122" s="18"/>
      <c r="AA122" s="17"/>
      <c r="AB122" s="18"/>
    </row>
    <row r="123" customFormat="false" ht="35.05" hidden="false" customHeight="false" outlineLevel="0" collapsed="false">
      <c r="A123" s="11" t="n">
        <v>119</v>
      </c>
      <c r="B123" s="14" t="s">
        <v>603</v>
      </c>
      <c r="C123" s="11" t="s">
        <v>604</v>
      </c>
      <c r="D123" s="11" t="n">
        <v>1.2</v>
      </c>
      <c r="E123" s="11" t="n">
        <v>2</v>
      </c>
      <c r="F123" s="11" t="n">
        <v>2</v>
      </c>
      <c r="G123" s="13" t="n">
        <v>53200</v>
      </c>
      <c r="H123" s="11" t="n">
        <v>0</v>
      </c>
      <c r="I123" s="11" t="n">
        <v>2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1</v>
      </c>
      <c r="O123" s="11" t="n">
        <v>1</v>
      </c>
      <c r="P123" s="11" t="n">
        <v>0</v>
      </c>
      <c r="Q123" s="11" t="n">
        <v>0</v>
      </c>
      <c r="R123" s="14" t="s">
        <v>605</v>
      </c>
      <c r="S123" s="15" t="n">
        <v>1</v>
      </c>
      <c r="T123" s="11" t="s">
        <v>606</v>
      </c>
      <c r="U123" s="14" t="s">
        <v>607</v>
      </c>
      <c r="V123" s="16" t="s">
        <v>56</v>
      </c>
      <c r="W123" s="17" t="s">
        <v>4</v>
      </c>
      <c r="X123" s="17"/>
      <c r="Y123" s="18"/>
      <c r="Z123" s="18"/>
      <c r="AA123" s="17"/>
      <c r="AB123" s="18"/>
    </row>
    <row r="124" customFormat="false" ht="23.85" hidden="false" customHeight="false" outlineLevel="0" collapsed="false">
      <c r="A124" s="11" t="n">
        <v>120</v>
      </c>
      <c r="B124" s="14" t="s">
        <v>608</v>
      </c>
      <c r="C124" s="11" t="s">
        <v>609</v>
      </c>
      <c r="D124" s="11" t="n">
        <v>1.1</v>
      </c>
      <c r="E124" s="11" t="n">
        <v>1</v>
      </c>
      <c r="F124" s="11" t="n">
        <v>1</v>
      </c>
      <c r="G124" s="13" t="n">
        <v>49192</v>
      </c>
      <c r="H124" s="11" t="n">
        <v>1</v>
      </c>
      <c r="I124" s="11" t="n">
        <v>0</v>
      </c>
      <c r="J124" s="11" t="n">
        <v>0</v>
      </c>
      <c r="K124" s="11" t="n">
        <v>0</v>
      </c>
      <c r="L124" s="11" t="n">
        <v>1</v>
      </c>
      <c r="M124" s="11" t="n">
        <v>0</v>
      </c>
      <c r="N124" s="11" t="n">
        <v>0</v>
      </c>
      <c r="O124" s="11" t="n">
        <v>1</v>
      </c>
      <c r="P124" s="11" t="n">
        <v>0</v>
      </c>
      <c r="Q124" s="11" t="n">
        <v>0</v>
      </c>
      <c r="R124" s="14" t="s">
        <v>610</v>
      </c>
      <c r="S124" s="15" t="n">
        <v>1</v>
      </c>
      <c r="T124" s="11" t="s">
        <v>611</v>
      </c>
      <c r="U124" s="14" t="s">
        <v>612</v>
      </c>
      <c r="V124" s="16" t="s">
        <v>56</v>
      </c>
      <c r="W124" s="17" t="s">
        <v>4</v>
      </c>
      <c r="X124" s="17"/>
      <c r="Y124" s="18"/>
      <c r="Z124" s="18"/>
      <c r="AA124" s="17"/>
      <c r="AB124" s="18"/>
    </row>
    <row r="125" customFormat="false" ht="35.05" hidden="false" customHeight="false" outlineLevel="0" collapsed="false">
      <c r="A125" s="11" t="n">
        <v>121</v>
      </c>
      <c r="B125" s="14" t="s">
        <v>613</v>
      </c>
      <c r="C125" s="11" t="s">
        <v>614</v>
      </c>
      <c r="D125" s="11" t="n">
        <v>1</v>
      </c>
      <c r="E125" s="11" t="n">
        <v>4</v>
      </c>
      <c r="F125" s="11" t="n">
        <v>1</v>
      </c>
      <c r="G125" s="13" t="n">
        <v>10923</v>
      </c>
      <c r="H125" s="11" t="n">
        <v>2</v>
      </c>
      <c r="I125" s="11" t="n">
        <v>0</v>
      </c>
      <c r="J125" s="11" t="n">
        <v>2</v>
      </c>
      <c r="K125" s="11" t="n">
        <v>0</v>
      </c>
      <c r="L125" s="11" t="n">
        <v>0</v>
      </c>
      <c r="M125" s="11" t="n">
        <v>0</v>
      </c>
      <c r="N125" s="11" t="n">
        <v>3</v>
      </c>
      <c r="O125" s="11" t="n">
        <v>0</v>
      </c>
      <c r="P125" s="11" t="n">
        <v>0</v>
      </c>
      <c r="Q125" s="11" t="n">
        <v>1</v>
      </c>
      <c r="R125" s="14" t="s">
        <v>615</v>
      </c>
      <c r="S125" s="15" t="n">
        <v>0.5</v>
      </c>
      <c r="T125" s="11" t="s">
        <v>85</v>
      </c>
      <c r="U125" s="14" t="s">
        <v>616</v>
      </c>
      <c r="V125" s="16" t="s">
        <v>56</v>
      </c>
      <c r="W125" s="17" t="s">
        <v>4</v>
      </c>
      <c r="X125" s="17"/>
      <c r="Y125" s="18"/>
      <c r="Z125" s="18"/>
      <c r="AA125" s="17"/>
      <c r="AB125" s="18"/>
    </row>
    <row r="126" customFormat="false" ht="23.85" hidden="false" customHeight="false" outlineLevel="0" collapsed="false">
      <c r="A126" s="11" t="n">
        <v>122</v>
      </c>
      <c r="B126" s="14" t="s">
        <v>617</v>
      </c>
      <c r="C126" s="11" t="s">
        <v>618</v>
      </c>
      <c r="D126" s="11" t="n">
        <v>1</v>
      </c>
      <c r="E126" s="11" t="n">
        <v>2</v>
      </c>
      <c r="F126" s="11" t="n">
        <v>2</v>
      </c>
      <c r="G126" s="13" t="n">
        <v>13334</v>
      </c>
      <c r="H126" s="11" t="n">
        <v>0</v>
      </c>
      <c r="I126" s="11" t="n">
        <v>0</v>
      </c>
      <c r="J126" s="11" t="n">
        <v>2</v>
      </c>
      <c r="K126" s="11" t="n">
        <v>0</v>
      </c>
      <c r="L126" s="11" t="n">
        <v>0</v>
      </c>
      <c r="M126" s="11" t="n">
        <v>0</v>
      </c>
      <c r="N126" s="11" t="n">
        <v>2</v>
      </c>
      <c r="O126" s="11" t="n">
        <v>0</v>
      </c>
      <c r="P126" s="11" t="n">
        <v>0</v>
      </c>
      <c r="Q126" s="11" t="n">
        <v>0</v>
      </c>
      <c r="R126" s="14" t="s">
        <v>619</v>
      </c>
      <c r="S126" s="15" t="n">
        <v>1</v>
      </c>
      <c r="T126" s="11" t="s">
        <v>620</v>
      </c>
      <c r="U126" s="14" t="s">
        <v>621</v>
      </c>
      <c r="V126" s="16" t="s">
        <v>56</v>
      </c>
      <c r="W126" s="17" t="s">
        <v>4</v>
      </c>
      <c r="X126" s="17"/>
      <c r="Y126" s="18"/>
      <c r="Z126" s="18"/>
      <c r="AA126" s="17"/>
      <c r="AB126" s="18"/>
    </row>
    <row r="127" customFormat="false" ht="23.85" hidden="false" customHeight="false" outlineLevel="0" collapsed="false">
      <c r="A127" s="11" t="n">
        <v>123</v>
      </c>
      <c r="B127" s="14" t="s">
        <v>622</v>
      </c>
      <c r="C127" s="11" t="s">
        <v>623</v>
      </c>
      <c r="D127" s="11" t="n">
        <v>1</v>
      </c>
      <c r="E127" s="11" t="n">
        <v>2</v>
      </c>
      <c r="F127" s="11" t="n">
        <v>1</v>
      </c>
      <c r="G127" s="13" t="n">
        <v>161500</v>
      </c>
      <c r="H127" s="11" t="n">
        <v>1</v>
      </c>
      <c r="I127" s="11" t="n">
        <v>1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2</v>
      </c>
      <c r="R127" s="14" t="s">
        <v>624</v>
      </c>
      <c r="S127" s="15" t="n">
        <v>0.5</v>
      </c>
      <c r="T127" s="11" t="s">
        <v>625</v>
      </c>
      <c r="U127" s="14" t="s">
        <v>626</v>
      </c>
      <c r="V127" s="16" t="s">
        <v>56</v>
      </c>
      <c r="W127" s="17" t="s">
        <v>4</v>
      </c>
      <c r="X127" s="17"/>
      <c r="Y127" s="18"/>
      <c r="Z127" s="18"/>
      <c r="AA127" s="17"/>
      <c r="AB127" s="18"/>
    </row>
    <row r="128" customFormat="false" ht="15" hidden="false" customHeight="false" outlineLevel="0" collapsed="false">
      <c r="A128" s="11" t="n">
        <v>124</v>
      </c>
      <c r="B128" s="14" t="s">
        <v>627</v>
      </c>
      <c r="C128" s="11" t="s">
        <v>628</v>
      </c>
      <c r="D128" s="11" t="n">
        <v>1</v>
      </c>
      <c r="E128" s="11" t="n">
        <v>2</v>
      </c>
      <c r="F128" s="11" t="n">
        <v>2</v>
      </c>
      <c r="G128" s="13" t="n">
        <v>11693</v>
      </c>
      <c r="H128" s="11" t="n">
        <v>0</v>
      </c>
      <c r="I128" s="11" t="n">
        <v>0</v>
      </c>
      <c r="J128" s="11" t="n">
        <v>2</v>
      </c>
      <c r="K128" s="11" t="n">
        <v>0</v>
      </c>
      <c r="L128" s="11" t="n">
        <v>0</v>
      </c>
      <c r="M128" s="11" t="n">
        <v>0</v>
      </c>
      <c r="N128" s="11" t="n">
        <v>2</v>
      </c>
      <c r="O128" s="11" t="n">
        <v>0</v>
      </c>
      <c r="P128" s="11" t="n">
        <v>0</v>
      </c>
      <c r="Q128" s="11" t="n">
        <v>0</v>
      </c>
      <c r="R128" s="14" t="s">
        <v>629</v>
      </c>
      <c r="S128" s="15" t="n">
        <v>1</v>
      </c>
      <c r="T128" s="11" t="s">
        <v>630</v>
      </c>
      <c r="U128" s="14" t="s">
        <v>631</v>
      </c>
      <c r="V128" s="16" t="s">
        <v>56</v>
      </c>
      <c r="W128" s="17" t="s">
        <v>4</v>
      </c>
      <c r="X128" s="17"/>
      <c r="Y128" s="18"/>
      <c r="Z128" s="18"/>
      <c r="AA128" s="17"/>
      <c r="AB128" s="18"/>
    </row>
    <row r="129" customFormat="false" ht="23.85" hidden="false" customHeight="false" outlineLevel="0" collapsed="false">
      <c r="A129" s="11" t="n">
        <v>125</v>
      </c>
      <c r="B129" s="14" t="s">
        <v>632</v>
      </c>
      <c r="C129" s="11" t="s">
        <v>633</v>
      </c>
      <c r="D129" s="11" t="n">
        <v>1</v>
      </c>
      <c r="E129" s="11" t="n">
        <v>2</v>
      </c>
      <c r="F129" s="11" t="n">
        <v>2</v>
      </c>
      <c r="G129" s="13" t="n">
        <v>98132</v>
      </c>
      <c r="H129" s="11" t="n">
        <v>0</v>
      </c>
      <c r="I129" s="11" t="n">
        <v>0</v>
      </c>
      <c r="J129" s="11" t="n">
        <v>2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2</v>
      </c>
      <c r="P129" s="11" t="n">
        <v>0</v>
      </c>
      <c r="Q129" s="11" t="n">
        <v>0</v>
      </c>
      <c r="R129" s="14" t="s">
        <v>634</v>
      </c>
      <c r="S129" s="15" t="n">
        <v>0.5</v>
      </c>
      <c r="T129" s="11" t="s">
        <v>635</v>
      </c>
      <c r="U129" s="14" t="s">
        <v>636</v>
      </c>
      <c r="V129" s="16" t="s">
        <v>56</v>
      </c>
      <c r="W129" s="17" t="s">
        <v>4</v>
      </c>
      <c r="X129" s="17"/>
      <c r="Y129" s="18"/>
      <c r="Z129" s="18"/>
      <c r="AA129" s="17"/>
      <c r="AB129" s="18"/>
    </row>
    <row r="130" customFormat="false" ht="35.05" hidden="false" customHeight="false" outlineLevel="0" collapsed="false">
      <c r="A130" s="11" t="n">
        <v>126</v>
      </c>
      <c r="B130" s="14" t="s">
        <v>637</v>
      </c>
      <c r="C130" s="11" t="s">
        <v>638</v>
      </c>
      <c r="D130" s="11" t="n">
        <v>1</v>
      </c>
      <c r="E130" s="11" t="n">
        <v>2</v>
      </c>
      <c r="F130" s="11" t="n">
        <v>2</v>
      </c>
      <c r="G130" s="13" t="n">
        <v>108456</v>
      </c>
      <c r="H130" s="11" t="n">
        <v>0</v>
      </c>
      <c r="I130" s="11" t="n">
        <v>0</v>
      </c>
      <c r="J130" s="11" t="n">
        <v>2</v>
      </c>
      <c r="K130" s="11" t="n">
        <v>0</v>
      </c>
      <c r="L130" s="11" t="n">
        <v>0</v>
      </c>
      <c r="M130" s="11" t="n">
        <v>0</v>
      </c>
      <c r="N130" s="11" t="n">
        <v>1</v>
      </c>
      <c r="O130" s="11" t="n">
        <v>0</v>
      </c>
      <c r="P130" s="11" t="n">
        <v>1</v>
      </c>
      <c r="Q130" s="11" t="n">
        <v>0</v>
      </c>
      <c r="R130" s="14" t="s">
        <v>639</v>
      </c>
      <c r="S130" s="15" t="n">
        <v>0.5</v>
      </c>
      <c r="T130" s="11" t="s">
        <v>640</v>
      </c>
      <c r="U130" s="14" t="s">
        <v>641</v>
      </c>
      <c r="V130" s="16" t="s">
        <v>56</v>
      </c>
      <c r="W130" s="17" t="s">
        <v>4</v>
      </c>
      <c r="X130" s="17"/>
      <c r="Y130" s="18"/>
      <c r="Z130" s="18"/>
      <c r="AA130" s="17"/>
      <c r="AB130" s="18"/>
    </row>
    <row r="131" customFormat="false" ht="35.05" hidden="false" customHeight="false" outlineLevel="0" collapsed="false">
      <c r="A131" s="11" t="n">
        <v>127</v>
      </c>
      <c r="B131" s="14" t="s">
        <v>642</v>
      </c>
      <c r="C131" s="11" t="s">
        <v>643</v>
      </c>
      <c r="D131" s="11" t="n">
        <v>1</v>
      </c>
      <c r="E131" s="11" t="n">
        <v>3</v>
      </c>
      <c r="F131" s="11" t="n">
        <v>2</v>
      </c>
      <c r="G131" s="13" t="n">
        <v>15857</v>
      </c>
      <c r="H131" s="11" t="n">
        <v>0</v>
      </c>
      <c r="I131" s="11" t="n">
        <v>0</v>
      </c>
      <c r="J131" s="11" t="n">
        <v>3</v>
      </c>
      <c r="K131" s="11" t="n">
        <v>0</v>
      </c>
      <c r="L131" s="11" t="n">
        <v>0</v>
      </c>
      <c r="M131" s="11" t="n">
        <v>0</v>
      </c>
      <c r="N131" s="11" t="n">
        <v>2</v>
      </c>
      <c r="O131" s="11" t="n">
        <v>0</v>
      </c>
      <c r="P131" s="11" t="n">
        <v>1</v>
      </c>
      <c r="Q131" s="11" t="n">
        <v>0</v>
      </c>
      <c r="R131" s="14" t="s">
        <v>644</v>
      </c>
      <c r="S131" s="15" t="n">
        <v>0.33</v>
      </c>
      <c r="T131" s="11" t="s">
        <v>645</v>
      </c>
      <c r="U131" s="14" t="s">
        <v>646</v>
      </c>
      <c r="V131" s="16" t="s">
        <v>56</v>
      </c>
      <c r="W131" s="17" t="s">
        <v>4</v>
      </c>
      <c r="X131" s="17"/>
      <c r="Y131" s="18"/>
      <c r="Z131" s="18"/>
      <c r="AA131" s="17"/>
      <c r="AB131" s="18"/>
    </row>
    <row r="132" customFormat="false" ht="23.85" hidden="false" customHeight="false" outlineLevel="0" collapsed="false">
      <c r="A132" s="11" t="n">
        <v>128</v>
      </c>
      <c r="B132" s="14" t="s">
        <v>647</v>
      </c>
      <c r="C132" s="11" t="s">
        <v>648</v>
      </c>
      <c r="D132" s="11" t="n">
        <v>0.8</v>
      </c>
      <c r="E132" s="11" t="n">
        <v>1</v>
      </c>
      <c r="F132" s="11" t="n">
        <v>1</v>
      </c>
      <c r="G132" s="13" t="n">
        <v>252264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1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1</v>
      </c>
      <c r="R132" s="14" t="s">
        <v>649</v>
      </c>
      <c r="S132" s="15" t="n">
        <v>1</v>
      </c>
      <c r="T132" s="11" t="s">
        <v>80</v>
      </c>
      <c r="U132" s="14" t="s">
        <v>650</v>
      </c>
      <c r="V132" s="16" t="s">
        <v>56</v>
      </c>
      <c r="W132" s="17" t="s">
        <v>4</v>
      </c>
      <c r="X132" s="17"/>
      <c r="Y132" s="18"/>
      <c r="Z132" s="18"/>
      <c r="AA132" s="17"/>
      <c r="AB132" s="18"/>
    </row>
    <row r="133" customFormat="false" ht="23.85" hidden="false" customHeight="false" outlineLevel="0" collapsed="false">
      <c r="A133" s="11" t="n">
        <v>129</v>
      </c>
      <c r="B133" s="14" t="s">
        <v>651</v>
      </c>
      <c r="C133" s="11" t="s">
        <v>652</v>
      </c>
      <c r="D133" s="11" t="n">
        <v>0.8</v>
      </c>
      <c r="E133" s="11" t="n">
        <v>1</v>
      </c>
      <c r="F133" s="11" t="n">
        <v>1</v>
      </c>
      <c r="G133" s="13" t="n">
        <v>5125</v>
      </c>
      <c r="H133" s="11" t="n">
        <v>1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1</v>
      </c>
      <c r="O133" s="11" t="n">
        <v>0</v>
      </c>
      <c r="P133" s="11" t="n">
        <v>0</v>
      </c>
      <c r="Q133" s="11" t="n">
        <v>0</v>
      </c>
      <c r="R133" s="14" t="s">
        <v>653</v>
      </c>
      <c r="S133" s="15" t="n">
        <v>1</v>
      </c>
      <c r="T133" s="11" t="s">
        <v>70</v>
      </c>
      <c r="U133" s="14" t="s">
        <v>654</v>
      </c>
      <c r="V133" s="16" t="s">
        <v>56</v>
      </c>
      <c r="W133" s="17" t="s">
        <v>4</v>
      </c>
      <c r="X133" s="17"/>
      <c r="Y133" s="18"/>
      <c r="Z133" s="18"/>
      <c r="AA133" s="17"/>
      <c r="AB133" s="18"/>
    </row>
    <row r="134" customFormat="false" ht="23.85" hidden="false" customHeight="false" outlineLevel="0" collapsed="false">
      <c r="A134" s="11" t="n">
        <v>130</v>
      </c>
      <c r="B134" s="14" t="s">
        <v>655</v>
      </c>
      <c r="C134" s="11" t="s">
        <v>656</v>
      </c>
      <c r="D134" s="11" t="n">
        <v>0.8</v>
      </c>
      <c r="E134" s="11" t="n">
        <v>1</v>
      </c>
      <c r="F134" s="11" t="n">
        <v>1</v>
      </c>
      <c r="G134" s="13" t="n">
        <v>99400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1</v>
      </c>
      <c r="M134" s="11" t="n">
        <v>0</v>
      </c>
      <c r="N134" s="11" t="n">
        <v>0</v>
      </c>
      <c r="O134" s="11" t="n">
        <v>0</v>
      </c>
      <c r="P134" s="11" t="n">
        <v>1</v>
      </c>
      <c r="Q134" s="11" t="n">
        <v>0</v>
      </c>
      <c r="R134" s="14" t="s">
        <v>657</v>
      </c>
      <c r="S134" s="15" t="n">
        <v>1</v>
      </c>
      <c r="T134" s="11" t="s">
        <v>410</v>
      </c>
      <c r="U134" s="14" t="s">
        <v>658</v>
      </c>
      <c r="V134" s="16" t="s">
        <v>56</v>
      </c>
      <c r="W134" s="17" t="s">
        <v>4</v>
      </c>
      <c r="X134" s="17"/>
      <c r="Y134" s="18"/>
      <c r="Z134" s="18"/>
      <c r="AA134" s="17"/>
      <c r="AB134" s="18"/>
    </row>
    <row r="135" customFormat="false" ht="35.05" hidden="false" customHeight="false" outlineLevel="0" collapsed="false">
      <c r="A135" s="11" t="n">
        <v>131</v>
      </c>
      <c r="B135" s="14" t="s">
        <v>659</v>
      </c>
      <c r="C135" s="11" t="s">
        <v>660</v>
      </c>
      <c r="D135" s="11" t="n">
        <v>0.8</v>
      </c>
      <c r="E135" s="11" t="n">
        <v>1</v>
      </c>
      <c r="F135" s="11" t="n">
        <v>1</v>
      </c>
      <c r="G135" s="13" t="n">
        <v>8800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1</v>
      </c>
      <c r="M135" s="11" t="n">
        <v>0</v>
      </c>
      <c r="N135" s="11" t="n">
        <v>1</v>
      </c>
      <c r="O135" s="11" t="n">
        <v>0</v>
      </c>
      <c r="P135" s="11" t="n">
        <v>0</v>
      </c>
      <c r="Q135" s="11" t="n">
        <v>0</v>
      </c>
      <c r="R135" s="14" t="s">
        <v>661</v>
      </c>
      <c r="S135" s="15" t="n">
        <v>1</v>
      </c>
      <c r="T135" s="11" t="s">
        <v>662</v>
      </c>
      <c r="U135" s="14" t="s">
        <v>663</v>
      </c>
      <c r="V135" s="16" t="s">
        <v>56</v>
      </c>
      <c r="W135" s="17" t="s">
        <v>4</v>
      </c>
      <c r="X135" s="17"/>
      <c r="Y135" s="18"/>
      <c r="Z135" s="18"/>
      <c r="AA135" s="17"/>
      <c r="AB135" s="18"/>
    </row>
    <row r="136" customFormat="false" ht="35.05" hidden="false" customHeight="false" outlineLevel="0" collapsed="false">
      <c r="A136" s="11" t="n">
        <v>132</v>
      </c>
      <c r="B136" s="14" t="s">
        <v>664</v>
      </c>
      <c r="C136" s="11" t="s">
        <v>665</v>
      </c>
      <c r="D136" s="11" t="n">
        <v>0.8</v>
      </c>
      <c r="E136" s="11" t="n">
        <v>1</v>
      </c>
      <c r="F136" s="11" t="n">
        <v>1</v>
      </c>
      <c r="G136" s="13" t="n">
        <v>18596</v>
      </c>
      <c r="H136" s="11" t="n">
        <v>1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1</v>
      </c>
      <c r="O136" s="11" t="n">
        <v>0</v>
      </c>
      <c r="P136" s="11" t="n">
        <v>0</v>
      </c>
      <c r="Q136" s="11" t="n">
        <v>0</v>
      </c>
      <c r="R136" s="14" t="s">
        <v>666</v>
      </c>
      <c r="S136" s="15" t="n">
        <v>1</v>
      </c>
      <c r="T136" s="11" t="s">
        <v>667</v>
      </c>
      <c r="U136" s="14" t="s">
        <v>668</v>
      </c>
      <c r="V136" s="16" t="s">
        <v>56</v>
      </c>
      <c r="W136" s="17" t="s">
        <v>4</v>
      </c>
      <c r="X136" s="17"/>
      <c r="Y136" s="18"/>
      <c r="Z136" s="18"/>
      <c r="AA136" s="17"/>
      <c r="AB136" s="18"/>
    </row>
    <row r="137" customFormat="false" ht="35.05" hidden="false" customHeight="false" outlineLevel="0" collapsed="false">
      <c r="A137" s="11" t="n">
        <v>133</v>
      </c>
      <c r="B137" s="14" t="s">
        <v>669</v>
      </c>
      <c r="C137" s="11" t="s">
        <v>670</v>
      </c>
      <c r="D137" s="11" t="n">
        <v>0.8</v>
      </c>
      <c r="E137" s="11" t="n">
        <v>1</v>
      </c>
      <c r="F137" s="11" t="n">
        <v>1</v>
      </c>
      <c r="G137" s="13" t="n">
        <v>20700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1</v>
      </c>
      <c r="M137" s="11" t="n">
        <v>0</v>
      </c>
      <c r="N137" s="11" t="n">
        <v>0</v>
      </c>
      <c r="O137" s="11" t="n">
        <v>1</v>
      </c>
      <c r="P137" s="11" t="n">
        <v>0</v>
      </c>
      <c r="Q137" s="11" t="n">
        <v>0</v>
      </c>
      <c r="R137" s="14" t="s">
        <v>671</v>
      </c>
      <c r="S137" s="15" t="n">
        <v>1</v>
      </c>
      <c r="T137" s="11" t="s">
        <v>672</v>
      </c>
      <c r="U137" s="14" t="s">
        <v>673</v>
      </c>
      <c r="V137" s="16" t="s">
        <v>56</v>
      </c>
      <c r="W137" s="17" t="s">
        <v>4</v>
      </c>
      <c r="X137" s="17"/>
      <c r="Y137" s="18"/>
      <c r="Z137" s="18"/>
      <c r="AA137" s="17"/>
      <c r="AB137" s="18"/>
    </row>
    <row r="138" customFormat="false" ht="23.85" hidden="false" customHeight="false" outlineLevel="0" collapsed="false">
      <c r="A138" s="11" t="n">
        <v>134</v>
      </c>
      <c r="B138" s="14" t="s">
        <v>674</v>
      </c>
      <c r="C138" s="11" t="s">
        <v>675</v>
      </c>
      <c r="D138" s="11" t="n">
        <v>0.8</v>
      </c>
      <c r="E138" s="11" t="n">
        <v>1</v>
      </c>
      <c r="F138" s="11" t="n">
        <v>1</v>
      </c>
      <c r="G138" s="13" t="n">
        <v>40234</v>
      </c>
      <c r="H138" s="11" t="n">
        <v>1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1</v>
      </c>
      <c r="P138" s="11" t="n">
        <v>0</v>
      </c>
      <c r="Q138" s="11" t="n">
        <v>0</v>
      </c>
      <c r="R138" s="14" t="s">
        <v>676</v>
      </c>
      <c r="S138" s="15" t="n">
        <v>1</v>
      </c>
      <c r="T138" s="11" t="s">
        <v>677</v>
      </c>
      <c r="U138" s="14" t="s">
        <v>678</v>
      </c>
      <c r="V138" s="16" t="s">
        <v>56</v>
      </c>
      <c r="W138" s="17" t="s">
        <v>4</v>
      </c>
      <c r="X138" s="17"/>
      <c r="Y138" s="18"/>
      <c r="Z138" s="18"/>
      <c r="AA138" s="17"/>
      <c r="AB138" s="18"/>
    </row>
    <row r="139" customFormat="false" ht="35.05" hidden="false" customHeight="false" outlineLevel="0" collapsed="false">
      <c r="A139" s="11" t="n">
        <v>135</v>
      </c>
      <c r="B139" s="14" t="s">
        <v>679</v>
      </c>
      <c r="C139" s="11" t="s">
        <v>680</v>
      </c>
      <c r="D139" s="11" t="n">
        <v>0.8</v>
      </c>
      <c r="E139" s="11" t="n">
        <v>1</v>
      </c>
      <c r="F139" s="11" t="n">
        <v>1</v>
      </c>
      <c r="G139" s="13" t="n">
        <v>72290</v>
      </c>
      <c r="H139" s="11" t="n">
        <v>0</v>
      </c>
      <c r="I139" s="11" t="n">
        <v>0</v>
      </c>
      <c r="J139" s="11" t="n">
        <v>0</v>
      </c>
      <c r="K139" s="11" t="n">
        <v>1</v>
      </c>
      <c r="L139" s="11" t="n">
        <v>0</v>
      </c>
      <c r="M139" s="11" t="n">
        <v>0</v>
      </c>
      <c r="N139" s="11" t="n">
        <v>0</v>
      </c>
      <c r="O139" s="11" t="n">
        <v>1</v>
      </c>
      <c r="P139" s="11" t="n">
        <v>0</v>
      </c>
      <c r="Q139" s="11" t="n">
        <v>0</v>
      </c>
      <c r="R139" s="14" t="s">
        <v>681</v>
      </c>
      <c r="S139" s="15" t="n">
        <v>1</v>
      </c>
      <c r="T139" s="11" t="s">
        <v>682</v>
      </c>
      <c r="U139" s="14" t="s">
        <v>683</v>
      </c>
      <c r="V139" s="16" t="s">
        <v>56</v>
      </c>
      <c r="W139" s="17" t="s">
        <v>4</v>
      </c>
      <c r="X139" s="17"/>
      <c r="Y139" s="18"/>
      <c r="Z139" s="18"/>
      <c r="AA139" s="17"/>
      <c r="AB139" s="18"/>
    </row>
    <row r="140" customFormat="false" ht="23.85" hidden="false" customHeight="false" outlineLevel="0" collapsed="false">
      <c r="A140" s="11" t="n">
        <v>136</v>
      </c>
      <c r="B140" s="14" t="s">
        <v>684</v>
      </c>
      <c r="C140" s="11" t="s">
        <v>685</v>
      </c>
      <c r="D140" s="11" t="n">
        <v>0.8</v>
      </c>
      <c r="E140" s="11" t="n">
        <v>1</v>
      </c>
      <c r="F140" s="11" t="n">
        <v>1</v>
      </c>
      <c r="G140" s="13" t="n">
        <v>36882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1</v>
      </c>
      <c r="M140" s="11" t="n">
        <v>0</v>
      </c>
      <c r="N140" s="11" t="n">
        <v>0</v>
      </c>
      <c r="O140" s="11" t="n">
        <v>1</v>
      </c>
      <c r="P140" s="11" t="n">
        <v>0</v>
      </c>
      <c r="Q140" s="11" t="n">
        <v>0</v>
      </c>
      <c r="R140" s="14" t="s">
        <v>686</v>
      </c>
      <c r="S140" s="15" t="n">
        <v>1</v>
      </c>
      <c r="T140" s="11" t="s">
        <v>687</v>
      </c>
      <c r="U140" s="14" t="s">
        <v>688</v>
      </c>
      <c r="V140" s="16" t="s">
        <v>56</v>
      </c>
      <c r="W140" s="17" t="s">
        <v>4</v>
      </c>
      <c r="X140" s="17"/>
      <c r="Y140" s="18"/>
      <c r="Z140" s="18"/>
      <c r="AA140" s="17"/>
      <c r="AB140" s="18"/>
    </row>
    <row r="141" customFormat="false" ht="23.85" hidden="false" customHeight="false" outlineLevel="0" collapsed="false">
      <c r="A141" s="11" t="n">
        <v>137</v>
      </c>
      <c r="B141" s="14" t="s">
        <v>689</v>
      </c>
      <c r="C141" s="11" t="s">
        <v>690</v>
      </c>
      <c r="D141" s="11" t="n">
        <v>0.8</v>
      </c>
      <c r="E141" s="11" t="n">
        <v>1</v>
      </c>
      <c r="F141" s="11" t="n">
        <v>1</v>
      </c>
      <c r="G141" s="13" t="n">
        <v>29920</v>
      </c>
      <c r="H141" s="11" t="n">
        <v>1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1</v>
      </c>
      <c r="P141" s="11" t="n">
        <v>0</v>
      </c>
      <c r="Q141" s="11" t="n">
        <v>0</v>
      </c>
      <c r="R141" s="14" t="s">
        <v>691</v>
      </c>
      <c r="S141" s="15" t="n">
        <v>1</v>
      </c>
      <c r="T141" s="11" t="s">
        <v>581</v>
      </c>
      <c r="U141" s="14" t="s">
        <v>692</v>
      </c>
      <c r="V141" s="16" t="s">
        <v>56</v>
      </c>
      <c r="W141" s="17" t="s">
        <v>4</v>
      </c>
      <c r="X141" s="17"/>
      <c r="Y141" s="18"/>
      <c r="Z141" s="18"/>
      <c r="AA141" s="17"/>
      <c r="AB141" s="18"/>
    </row>
    <row r="142" customFormat="false" ht="35.05" hidden="false" customHeight="false" outlineLevel="0" collapsed="false">
      <c r="A142" s="11" t="n">
        <v>138</v>
      </c>
      <c r="B142" s="14" t="s">
        <v>693</v>
      </c>
      <c r="C142" s="11" t="s">
        <v>694</v>
      </c>
      <c r="D142" s="11" t="n">
        <v>0.8</v>
      </c>
      <c r="E142" s="11" t="n">
        <v>6</v>
      </c>
      <c r="F142" s="11" t="n">
        <v>1</v>
      </c>
      <c r="G142" s="13" t="n">
        <v>29250</v>
      </c>
      <c r="H142" s="11" t="n">
        <v>0</v>
      </c>
      <c r="I142" s="11" t="n">
        <v>0</v>
      </c>
      <c r="J142" s="11" t="n">
        <v>5</v>
      </c>
      <c r="K142" s="11" t="n">
        <v>0</v>
      </c>
      <c r="L142" s="11" t="n">
        <v>1</v>
      </c>
      <c r="M142" s="11" t="n">
        <v>0</v>
      </c>
      <c r="N142" s="11" t="n">
        <v>1</v>
      </c>
      <c r="O142" s="11" t="n">
        <v>2</v>
      </c>
      <c r="P142" s="11" t="n">
        <v>1</v>
      </c>
      <c r="Q142" s="11" t="n">
        <v>2</v>
      </c>
      <c r="R142" s="14" t="s">
        <v>695</v>
      </c>
      <c r="S142" s="15" t="n">
        <v>0.33</v>
      </c>
      <c r="T142" s="11" t="s">
        <v>606</v>
      </c>
      <c r="U142" s="14" t="s">
        <v>696</v>
      </c>
      <c r="V142" s="16" t="s">
        <v>56</v>
      </c>
      <c r="W142" s="17" t="s">
        <v>4</v>
      </c>
      <c r="X142" s="17"/>
      <c r="Y142" s="18"/>
      <c r="Z142" s="18"/>
      <c r="AA142" s="17"/>
      <c r="AB142" s="18"/>
    </row>
    <row r="143" customFormat="false" ht="35.05" hidden="false" customHeight="false" outlineLevel="0" collapsed="false">
      <c r="A143" s="11" t="n">
        <v>139</v>
      </c>
      <c r="B143" s="14" t="s">
        <v>697</v>
      </c>
      <c r="C143" s="11" t="s">
        <v>698</v>
      </c>
      <c r="D143" s="11" t="n">
        <v>0.8</v>
      </c>
      <c r="E143" s="11" t="n">
        <v>2</v>
      </c>
      <c r="F143" s="11" t="n">
        <v>2</v>
      </c>
      <c r="G143" s="13" t="n">
        <v>51750</v>
      </c>
      <c r="H143" s="11" t="n">
        <v>0</v>
      </c>
      <c r="I143" s="11" t="n">
        <v>2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1</v>
      </c>
      <c r="O143" s="11" t="n">
        <v>1</v>
      </c>
      <c r="P143" s="11" t="n">
        <v>0</v>
      </c>
      <c r="Q143" s="11" t="n">
        <v>0</v>
      </c>
      <c r="R143" s="14" t="s">
        <v>699</v>
      </c>
      <c r="S143" s="15" t="n">
        <v>1</v>
      </c>
      <c r="T143" s="11" t="s">
        <v>700</v>
      </c>
      <c r="U143" s="14" t="s">
        <v>701</v>
      </c>
      <c r="V143" s="16" t="s">
        <v>56</v>
      </c>
      <c r="W143" s="17" t="s">
        <v>4</v>
      </c>
      <c r="X143" s="17"/>
      <c r="Y143" s="18"/>
      <c r="Z143" s="18"/>
      <c r="AA143" s="17"/>
      <c r="AB143" s="18"/>
    </row>
    <row r="144" customFormat="false" ht="23.85" hidden="false" customHeight="false" outlineLevel="0" collapsed="false">
      <c r="A144" s="11" t="n">
        <v>140</v>
      </c>
      <c r="B144" s="14" t="s">
        <v>702</v>
      </c>
      <c r="C144" s="11" t="s">
        <v>703</v>
      </c>
      <c r="D144" s="11" t="n">
        <v>0.7</v>
      </c>
      <c r="E144" s="11" t="n">
        <v>2</v>
      </c>
      <c r="F144" s="11" t="n">
        <v>1</v>
      </c>
      <c r="G144" s="13" t="n">
        <v>89412</v>
      </c>
      <c r="H144" s="11" t="n">
        <v>0</v>
      </c>
      <c r="I144" s="11" t="n">
        <v>0</v>
      </c>
      <c r="J144" s="11" t="n">
        <v>2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1</v>
      </c>
      <c r="Q144" s="11" t="n">
        <v>1</v>
      </c>
      <c r="R144" s="14" t="s">
        <v>704</v>
      </c>
      <c r="S144" s="15" t="n">
        <v>0.5</v>
      </c>
      <c r="T144" s="11" t="s">
        <v>179</v>
      </c>
      <c r="U144" s="14" t="s">
        <v>705</v>
      </c>
      <c r="V144" s="16" t="s">
        <v>56</v>
      </c>
      <c r="W144" s="17" t="s">
        <v>4</v>
      </c>
      <c r="X144" s="17"/>
      <c r="Y144" s="18"/>
      <c r="Z144" s="18"/>
      <c r="AA144" s="17"/>
      <c r="AB144" s="18"/>
    </row>
    <row r="145" customFormat="false" ht="23.85" hidden="false" customHeight="false" outlineLevel="0" collapsed="false">
      <c r="A145" s="11" t="n">
        <v>141</v>
      </c>
      <c r="B145" s="14" t="s">
        <v>706</v>
      </c>
      <c r="C145" s="11" t="s">
        <v>707</v>
      </c>
      <c r="D145" s="11" t="n">
        <v>0.7</v>
      </c>
      <c r="E145" s="11" t="n">
        <v>2</v>
      </c>
      <c r="F145" s="11" t="n">
        <v>1</v>
      </c>
      <c r="G145" s="13" t="n">
        <v>24300</v>
      </c>
      <c r="H145" s="11" t="n">
        <v>0</v>
      </c>
      <c r="I145" s="11" t="n">
        <v>0</v>
      </c>
      <c r="J145" s="11" t="n">
        <v>2</v>
      </c>
      <c r="K145" s="11" t="n">
        <v>0</v>
      </c>
      <c r="L145" s="11" t="n">
        <v>0</v>
      </c>
      <c r="M145" s="11" t="n">
        <v>0</v>
      </c>
      <c r="N145" s="11" t="n">
        <v>1</v>
      </c>
      <c r="O145" s="11" t="n">
        <v>1</v>
      </c>
      <c r="P145" s="11" t="n">
        <v>0</v>
      </c>
      <c r="Q145" s="11" t="n">
        <v>0</v>
      </c>
      <c r="R145" s="14" t="s">
        <v>708</v>
      </c>
      <c r="S145" s="15" t="n">
        <v>0.5</v>
      </c>
      <c r="T145" s="11" t="s">
        <v>419</v>
      </c>
      <c r="U145" s="14" t="s">
        <v>709</v>
      </c>
      <c r="V145" s="16" t="s">
        <v>56</v>
      </c>
      <c r="W145" s="17" t="s">
        <v>4</v>
      </c>
      <c r="X145" s="17"/>
      <c r="Y145" s="18"/>
      <c r="Z145" s="18"/>
      <c r="AA145" s="17"/>
      <c r="AB145" s="18"/>
    </row>
    <row r="146" customFormat="false" ht="35.05" hidden="false" customHeight="false" outlineLevel="0" collapsed="false">
      <c r="A146" s="11" t="n">
        <v>142</v>
      </c>
      <c r="B146" s="14" t="s">
        <v>710</v>
      </c>
      <c r="C146" s="11" t="s">
        <v>711</v>
      </c>
      <c r="D146" s="11" t="n">
        <v>0.7</v>
      </c>
      <c r="E146" s="11" t="n">
        <v>2</v>
      </c>
      <c r="F146" s="11" t="n">
        <v>1</v>
      </c>
      <c r="G146" s="13" t="n">
        <v>3288</v>
      </c>
      <c r="H146" s="11" t="n">
        <v>0</v>
      </c>
      <c r="I146" s="11" t="n">
        <v>0</v>
      </c>
      <c r="J146" s="11" t="n">
        <v>2</v>
      </c>
      <c r="K146" s="11" t="n">
        <v>0</v>
      </c>
      <c r="L146" s="11" t="n">
        <v>0</v>
      </c>
      <c r="M146" s="11" t="n">
        <v>0</v>
      </c>
      <c r="N146" s="11" t="n">
        <v>1</v>
      </c>
      <c r="O146" s="11" t="n">
        <v>0</v>
      </c>
      <c r="P146" s="11" t="n">
        <v>0</v>
      </c>
      <c r="Q146" s="11" t="n">
        <v>1</v>
      </c>
      <c r="R146" s="14" t="s">
        <v>712</v>
      </c>
      <c r="S146" s="15" t="n">
        <v>0.5</v>
      </c>
      <c r="T146" s="11" t="s">
        <v>419</v>
      </c>
      <c r="U146" s="14" t="s">
        <v>713</v>
      </c>
      <c r="V146" s="16" t="s">
        <v>56</v>
      </c>
      <c r="W146" s="17" t="s">
        <v>4</v>
      </c>
      <c r="X146" s="17"/>
      <c r="Y146" s="18"/>
      <c r="Z146" s="18"/>
      <c r="AA146" s="17"/>
      <c r="AB146" s="18"/>
    </row>
    <row r="147" customFormat="false" ht="15" hidden="false" customHeight="false" outlineLevel="0" collapsed="false">
      <c r="A147" s="11" t="n">
        <v>143</v>
      </c>
      <c r="B147" s="14" t="s">
        <v>714</v>
      </c>
      <c r="C147" s="11" t="s">
        <v>715</v>
      </c>
      <c r="D147" s="11" t="n">
        <v>0.7</v>
      </c>
      <c r="E147" s="11" t="n">
        <v>2</v>
      </c>
      <c r="F147" s="11" t="n">
        <v>2</v>
      </c>
      <c r="G147" s="13" t="n">
        <v>37609</v>
      </c>
      <c r="H147" s="11" t="n">
        <v>0</v>
      </c>
      <c r="I147" s="11" t="n">
        <v>0</v>
      </c>
      <c r="J147" s="11" t="n">
        <v>2</v>
      </c>
      <c r="K147" s="11" t="n">
        <v>0</v>
      </c>
      <c r="L147" s="11" t="n">
        <v>0</v>
      </c>
      <c r="M147" s="11" t="n">
        <v>0</v>
      </c>
      <c r="N147" s="11" t="n">
        <v>1</v>
      </c>
      <c r="O147" s="11" t="n">
        <v>1</v>
      </c>
      <c r="P147" s="11" t="n">
        <v>0</v>
      </c>
      <c r="Q147" s="11" t="n">
        <v>0</v>
      </c>
      <c r="R147" s="14" t="s">
        <v>716</v>
      </c>
      <c r="S147" s="15" t="n">
        <v>1</v>
      </c>
      <c r="T147" s="11" t="s">
        <v>717</v>
      </c>
      <c r="U147" s="14" t="s">
        <v>718</v>
      </c>
      <c r="V147" s="16" t="s">
        <v>56</v>
      </c>
      <c r="W147" s="17" t="s">
        <v>4</v>
      </c>
      <c r="X147" s="17"/>
      <c r="Y147" s="18"/>
      <c r="Z147" s="18"/>
      <c r="AA147" s="17"/>
      <c r="AB147" s="18"/>
    </row>
    <row r="148" customFormat="false" ht="35.05" hidden="false" customHeight="false" outlineLevel="0" collapsed="false">
      <c r="A148" s="11" t="n">
        <v>144</v>
      </c>
      <c r="B148" s="14" t="s">
        <v>719</v>
      </c>
      <c r="C148" s="11" t="s">
        <v>720</v>
      </c>
      <c r="D148" s="11" t="n">
        <v>0.6</v>
      </c>
      <c r="E148" s="11" t="n">
        <v>1</v>
      </c>
      <c r="F148" s="11" t="n">
        <v>1</v>
      </c>
      <c r="G148" s="13" t="n">
        <v>74000</v>
      </c>
      <c r="H148" s="11" t="n">
        <v>0</v>
      </c>
      <c r="I148" s="11" t="n">
        <v>1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1</v>
      </c>
      <c r="P148" s="11" t="n">
        <v>0</v>
      </c>
      <c r="Q148" s="11" t="n">
        <v>0</v>
      </c>
      <c r="R148" s="14" t="s">
        <v>721</v>
      </c>
      <c r="S148" s="15" t="n">
        <v>1</v>
      </c>
      <c r="T148" s="11" t="s">
        <v>80</v>
      </c>
      <c r="U148" s="14" t="s">
        <v>722</v>
      </c>
      <c r="V148" s="16" t="s">
        <v>56</v>
      </c>
      <c r="W148" s="17" t="s">
        <v>4</v>
      </c>
      <c r="X148" s="17"/>
      <c r="Y148" s="18"/>
      <c r="Z148" s="18"/>
      <c r="AA148" s="17"/>
      <c r="AB148" s="18"/>
    </row>
    <row r="149" customFormat="false" ht="35.05" hidden="false" customHeight="false" outlineLevel="0" collapsed="false">
      <c r="A149" s="11" t="n">
        <v>145</v>
      </c>
      <c r="B149" s="14" t="s">
        <v>723</v>
      </c>
      <c r="C149" s="11" t="s">
        <v>724</v>
      </c>
      <c r="D149" s="11" t="n">
        <v>0.6</v>
      </c>
      <c r="E149" s="11" t="n">
        <v>1</v>
      </c>
      <c r="F149" s="11" t="n">
        <v>1</v>
      </c>
      <c r="G149" s="13" t="n">
        <v>11890</v>
      </c>
      <c r="H149" s="11" t="n">
        <v>0</v>
      </c>
      <c r="I149" s="11" t="n">
        <v>1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1</v>
      </c>
      <c r="O149" s="11" t="n">
        <v>0</v>
      </c>
      <c r="P149" s="11" t="n">
        <v>0</v>
      </c>
      <c r="Q149" s="11" t="n">
        <v>0</v>
      </c>
      <c r="R149" s="14" t="s">
        <v>725</v>
      </c>
      <c r="S149" s="15" t="n">
        <v>1</v>
      </c>
      <c r="T149" s="11" t="s">
        <v>80</v>
      </c>
      <c r="U149" s="14" t="s">
        <v>726</v>
      </c>
      <c r="V149" s="16" t="s">
        <v>56</v>
      </c>
      <c r="W149" s="17" t="s">
        <v>4</v>
      </c>
      <c r="X149" s="17"/>
      <c r="Y149" s="18"/>
      <c r="Z149" s="18"/>
      <c r="AA149" s="17"/>
      <c r="AB149" s="18"/>
    </row>
    <row r="150" customFormat="false" ht="35.05" hidden="false" customHeight="false" outlineLevel="0" collapsed="false">
      <c r="A150" s="11" t="n">
        <v>146</v>
      </c>
      <c r="B150" s="14" t="s">
        <v>727</v>
      </c>
      <c r="C150" s="11" t="s">
        <v>728</v>
      </c>
      <c r="D150" s="11" t="n">
        <v>0.6</v>
      </c>
      <c r="E150" s="11" t="n">
        <v>1</v>
      </c>
      <c r="F150" s="11" t="n">
        <v>1</v>
      </c>
      <c r="G150" s="13" t="n">
        <v>59850</v>
      </c>
      <c r="H150" s="11" t="n">
        <v>0</v>
      </c>
      <c r="I150" s="11" t="n">
        <v>1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1</v>
      </c>
      <c r="P150" s="11" t="n">
        <v>0</v>
      </c>
      <c r="Q150" s="11" t="n">
        <v>0</v>
      </c>
      <c r="R150" s="14" t="s">
        <v>729</v>
      </c>
      <c r="S150" s="15" t="n">
        <v>1</v>
      </c>
      <c r="T150" s="11" t="s">
        <v>207</v>
      </c>
      <c r="U150" s="14" t="s">
        <v>730</v>
      </c>
      <c r="V150" s="16" t="s">
        <v>56</v>
      </c>
      <c r="W150" s="17" t="s">
        <v>4</v>
      </c>
      <c r="X150" s="17"/>
      <c r="Y150" s="18"/>
      <c r="Z150" s="18"/>
      <c r="AA150" s="17"/>
      <c r="AB150" s="18"/>
    </row>
    <row r="151" customFormat="false" ht="35.05" hidden="false" customHeight="false" outlineLevel="0" collapsed="false">
      <c r="A151" s="11" t="n">
        <v>147</v>
      </c>
      <c r="B151" s="14" t="s">
        <v>731</v>
      </c>
      <c r="C151" s="11" t="s">
        <v>732</v>
      </c>
      <c r="D151" s="11" t="n">
        <v>0.6</v>
      </c>
      <c r="E151" s="11" t="n">
        <v>1</v>
      </c>
      <c r="F151" s="11" t="n">
        <v>1</v>
      </c>
      <c r="G151" s="13" t="n">
        <v>60585</v>
      </c>
      <c r="H151" s="11" t="n">
        <v>0</v>
      </c>
      <c r="I151" s="11" t="n">
        <v>1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1</v>
      </c>
      <c r="P151" s="11" t="n">
        <v>0</v>
      </c>
      <c r="Q151" s="11" t="n">
        <v>0</v>
      </c>
      <c r="R151" s="14" t="s">
        <v>733</v>
      </c>
      <c r="S151" s="15" t="n">
        <v>1</v>
      </c>
      <c r="T151" s="11" t="s">
        <v>216</v>
      </c>
      <c r="U151" s="14" t="s">
        <v>734</v>
      </c>
      <c r="V151" s="16" t="s">
        <v>56</v>
      </c>
      <c r="W151" s="17" t="s">
        <v>4</v>
      </c>
      <c r="X151" s="17"/>
      <c r="Y151" s="18"/>
      <c r="Z151" s="18"/>
      <c r="AA151" s="17"/>
      <c r="AB151" s="18"/>
    </row>
    <row r="152" customFormat="false" ht="35.05" hidden="false" customHeight="false" outlineLevel="0" collapsed="false">
      <c r="A152" s="11" t="n">
        <v>148</v>
      </c>
      <c r="B152" s="14" t="s">
        <v>735</v>
      </c>
      <c r="C152" s="11" t="s">
        <v>736</v>
      </c>
      <c r="D152" s="11" t="n">
        <v>0.6</v>
      </c>
      <c r="E152" s="11" t="n">
        <v>1</v>
      </c>
      <c r="F152" s="11" t="n">
        <v>1</v>
      </c>
      <c r="G152" s="13" t="n">
        <v>75000</v>
      </c>
      <c r="H152" s="11" t="n">
        <v>0</v>
      </c>
      <c r="I152" s="11" t="n">
        <v>1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1</v>
      </c>
      <c r="Q152" s="11" t="n">
        <v>0</v>
      </c>
      <c r="R152" s="14" t="s">
        <v>737</v>
      </c>
      <c r="S152" s="15" t="n">
        <v>1</v>
      </c>
      <c r="T152" s="11" t="s">
        <v>738</v>
      </c>
      <c r="U152" s="14" t="s">
        <v>739</v>
      </c>
      <c r="V152" s="16" t="s">
        <v>56</v>
      </c>
      <c r="W152" s="17" t="s">
        <v>4</v>
      </c>
      <c r="X152" s="17"/>
      <c r="Y152" s="18"/>
      <c r="Z152" s="18"/>
      <c r="AA152" s="17"/>
      <c r="AB152" s="18"/>
    </row>
    <row r="153" customFormat="false" ht="35.05" hidden="false" customHeight="false" outlineLevel="0" collapsed="false">
      <c r="A153" s="11" t="n">
        <v>149</v>
      </c>
      <c r="B153" s="14" t="s">
        <v>740</v>
      </c>
      <c r="C153" s="11" t="s">
        <v>741</v>
      </c>
      <c r="D153" s="11" t="n">
        <v>0.6</v>
      </c>
      <c r="E153" s="11" t="n">
        <v>1</v>
      </c>
      <c r="F153" s="11" t="n">
        <v>1</v>
      </c>
      <c r="G153" s="13" t="n">
        <v>9250</v>
      </c>
      <c r="H153" s="11" t="n">
        <v>0</v>
      </c>
      <c r="I153" s="11" t="n">
        <v>1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1</v>
      </c>
      <c r="O153" s="11" t="n">
        <v>0</v>
      </c>
      <c r="P153" s="11" t="n">
        <v>0</v>
      </c>
      <c r="Q153" s="11" t="n">
        <v>0</v>
      </c>
      <c r="R153" s="14" t="s">
        <v>742</v>
      </c>
      <c r="S153" s="15" t="n">
        <v>1</v>
      </c>
      <c r="T153" s="11" t="s">
        <v>132</v>
      </c>
      <c r="U153" s="14" t="s">
        <v>743</v>
      </c>
      <c r="V153" s="16" t="s">
        <v>56</v>
      </c>
      <c r="W153" s="17" t="s">
        <v>4</v>
      </c>
      <c r="X153" s="17"/>
      <c r="Y153" s="18"/>
      <c r="Z153" s="18"/>
      <c r="AA153" s="17"/>
      <c r="AB153" s="18"/>
    </row>
    <row r="154" customFormat="false" ht="23.85" hidden="false" customHeight="false" outlineLevel="0" collapsed="false">
      <c r="A154" s="11" t="n">
        <v>150</v>
      </c>
      <c r="B154" s="14" t="s">
        <v>744</v>
      </c>
      <c r="C154" s="11" t="s">
        <v>745</v>
      </c>
      <c r="D154" s="11" t="n">
        <v>0.6</v>
      </c>
      <c r="E154" s="11" t="n">
        <v>1</v>
      </c>
      <c r="F154" s="11" t="n">
        <v>1</v>
      </c>
      <c r="G154" s="13" t="n">
        <v>7740</v>
      </c>
      <c r="H154" s="11" t="n">
        <v>0</v>
      </c>
      <c r="I154" s="11" t="n">
        <v>1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1</v>
      </c>
      <c r="O154" s="11" t="n">
        <v>0</v>
      </c>
      <c r="P154" s="11" t="n">
        <v>0</v>
      </c>
      <c r="Q154" s="11" t="n">
        <v>0</v>
      </c>
      <c r="R154" s="14" t="s">
        <v>746</v>
      </c>
      <c r="S154" s="15" t="n">
        <v>1</v>
      </c>
      <c r="T154" s="11" t="s">
        <v>461</v>
      </c>
      <c r="U154" s="14" t="s">
        <v>747</v>
      </c>
      <c r="V154" s="16" t="s">
        <v>56</v>
      </c>
      <c r="W154" s="17" t="s">
        <v>4</v>
      </c>
      <c r="X154" s="17"/>
      <c r="Y154" s="18"/>
      <c r="Z154" s="18"/>
      <c r="AA154" s="17"/>
      <c r="AB154" s="18"/>
    </row>
    <row r="155" customFormat="false" ht="23.85" hidden="false" customHeight="false" outlineLevel="0" collapsed="false">
      <c r="A155" s="11" t="n">
        <v>151</v>
      </c>
      <c r="B155" s="14" t="s">
        <v>748</v>
      </c>
      <c r="C155" s="11" t="s">
        <v>749</v>
      </c>
      <c r="D155" s="11" t="n">
        <v>0.6</v>
      </c>
      <c r="E155" s="11" t="n">
        <v>1</v>
      </c>
      <c r="F155" s="11" t="n">
        <v>1</v>
      </c>
      <c r="G155" s="13" t="n">
        <v>7302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1</v>
      </c>
      <c r="O155" s="11" t="n">
        <v>0</v>
      </c>
      <c r="P155" s="11" t="n">
        <v>0</v>
      </c>
      <c r="Q155" s="11" t="n">
        <v>0</v>
      </c>
      <c r="R155" s="14" t="s">
        <v>750</v>
      </c>
      <c r="S155" s="15" t="n">
        <v>1</v>
      </c>
      <c r="T155" s="11" t="s">
        <v>751</v>
      </c>
      <c r="U155" s="14" t="s">
        <v>752</v>
      </c>
      <c r="V155" s="16" t="s">
        <v>56</v>
      </c>
      <c r="W155" s="17" t="s">
        <v>4</v>
      </c>
      <c r="X155" s="17"/>
      <c r="Y155" s="18"/>
      <c r="Z155" s="18"/>
      <c r="AA155" s="17"/>
      <c r="AB155" s="18"/>
    </row>
    <row r="156" customFormat="false" ht="35.05" hidden="false" customHeight="false" outlineLevel="0" collapsed="false">
      <c r="A156" s="11" t="n">
        <v>152</v>
      </c>
      <c r="B156" s="14" t="s">
        <v>753</v>
      </c>
      <c r="C156" s="11" t="s">
        <v>754</v>
      </c>
      <c r="D156" s="11" t="n">
        <v>0.6</v>
      </c>
      <c r="E156" s="11" t="n">
        <v>1</v>
      </c>
      <c r="F156" s="11" t="n">
        <v>1</v>
      </c>
      <c r="G156" s="13" t="n">
        <v>69900</v>
      </c>
      <c r="H156" s="11" t="n">
        <v>0</v>
      </c>
      <c r="I156" s="11" t="n">
        <v>1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1</v>
      </c>
      <c r="P156" s="11" t="n">
        <v>0</v>
      </c>
      <c r="Q156" s="11" t="n">
        <v>0</v>
      </c>
      <c r="R156" s="14" t="s">
        <v>755</v>
      </c>
      <c r="S156" s="15" t="n">
        <v>1</v>
      </c>
      <c r="T156" s="11" t="s">
        <v>756</v>
      </c>
      <c r="U156" s="14" t="s">
        <v>602</v>
      </c>
      <c r="V156" s="16" t="s">
        <v>56</v>
      </c>
      <c r="W156" s="17" t="s">
        <v>4</v>
      </c>
      <c r="X156" s="17"/>
      <c r="Y156" s="18"/>
      <c r="Z156" s="18"/>
      <c r="AA156" s="17"/>
      <c r="AB156" s="18"/>
    </row>
    <row r="157" customFormat="false" ht="35.05" hidden="false" customHeight="false" outlineLevel="0" collapsed="false">
      <c r="A157" s="11" t="n">
        <v>153</v>
      </c>
      <c r="B157" s="14" t="s">
        <v>757</v>
      </c>
      <c r="C157" s="11" t="s">
        <v>758</v>
      </c>
      <c r="D157" s="11" t="n">
        <v>0.6</v>
      </c>
      <c r="E157" s="11" t="n">
        <v>1</v>
      </c>
      <c r="F157" s="11" t="n">
        <v>1</v>
      </c>
      <c r="G157" s="13" t="n">
        <v>104900</v>
      </c>
      <c r="H157" s="11" t="n">
        <v>0</v>
      </c>
      <c r="I157" s="11" t="n">
        <v>1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1</v>
      </c>
      <c r="Q157" s="11" t="n">
        <v>0</v>
      </c>
      <c r="R157" s="14" t="s">
        <v>755</v>
      </c>
      <c r="S157" s="15" t="n">
        <v>1</v>
      </c>
      <c r="T157" s="11" t="s">
        <v>287</v>
      </c>
      <c r="U157" s="14" t="s">
        <v>602</v>
      </c>
      <c r="V157" s="16" t="s">
        <v>56</v>
      </c>
      <c r="W157" s="17" t="s">
        <v>4</v>
      </c>
      <c r="X157" s="17"/>
      <c r="Y157" s="18"/>
      <c r="Z157" s="18"/>
      <c r="AA157" s="17"/>
      <c r="AB157" s="18"/>
    </row>
    <row r="158" customFormat="false" ht="35.05" hidden="false" customHeight="false" outlineLevel="0" collapsed="false">
      <c r="A158" s="11" t="n">
        <v>154</v>
      </c>
      <c r="B158" s="14" t="s">
        <v>759</v>
      </c>
      <c r="C158" s="11" t="s">
        <v>760</v>
      </c>
      <c r="D158" s="11" t="n">
        <v>0.6</v>
      </c>
      <c r="E158" s="11" t="n">
        <v>1</v>
      </c>
      <c r="F158" s="11" t="n">
        <v>1</v>
      </c>
      <c r="G158" s="13" t="n">
        <v>7500</v>
      </c>
      <c r="H158" s="11" t="n">
        <v>0</v>
      </c>
      <c r="I158" s="11" t="n">
        <v>1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1</v>
      </c>
      <c r="O158" s="11" t="n">
        <v>0</v>
      </c>
      <c r="P158" s="11" t="n">
        <v>0</v>
      </c>
      <c r="Q158" s="11" t="n">
        <v>0</v>
      </c>
      <c r="R158" s="14" t="s">
        <v>761</v>
      </c>
      <c r="S158" s="15" t="n">
        <v>1</v>
      </c>
      <c r="T158" s="11" t="s">
        <v>762</v>
      </c>
      <c r="U158" s="14" t="s">
        <v>763</v>
      </c>
      <c r="V158" s="16" t="s">
        <v>56</v>
      </c>
      <c r="W158" s="17" t="s">
        <v>4</v>
      </c>
      <c r="X158" s="17"/>
      <c r="Y158" s="18"/>
      <c r="Z158" s="18"/>
      <c r="AA158" s="17"/>
      <c r="AB158" s="18"/>
    </row>
    <row r="159" customFormat="false" ht="23.85" hidden="false" customHeight="false" outlineLevel="0" collapsed="false">
      <c r="A159" s="11" t="n">
        <v>155</v>
      </c>
      <c r="B159" s="14" t="s">
        <v>764</v>
      </c>
      <c r="C159" s="11" t="s">
        <v>765</v>
      </c>
      <c r="D159" s="11" t="n">
        <v>0.6</v>
      </c>
      <c r="E159" s="11" t="n">
        <v>1</v>
      </c>
      <c r="F159" s="11" t="n">
        <v>1</v>
      </c>
      <c r="G159" s="13" t="n">
        <v>5850</v>
      </c>
      <c r="H159" s="11" t="n">
        <v>0</v>
      </c>
      <c r="I159" s="11" t="n">
        <v>1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1</v>
      </c>
      <c r="O159" s="11" t="n">
        <v>0</v>
      </c>
      <c r="P159" s="11" t="n">
        <v>0</v>
      </c>
      <c r="Q159" s="11" t="n">
        <v>0</v>
      </c>
      <c r="R159" s="14" t="s">
        <v>766</v>
      </c>
      <c r="S159" s="15" t="n">
        <v>1</v>
      </c>
      <c r="T159" s="11" t="s">
        <v>767</v>
      </c>
      <c r="U159" s="14" t="s">
        <v>768</v>
      </c>
      <c r="V159" s="16" t="s">
        <v>56</v>
      </c>
      <c r="W159" s="17" t="s">
        <v>4</v>
      </c>
      <c r="X159" s="17"/>
      <c r="Y159" s="18"/>
      <c r="Z159" s="18"/>
      <c r="AA159" s="17"/>
      <c r="AB159" s="18"/>
    </row>
    <row r="160" customFormat="false" ht="35.05" hidden="false" customHeight="false" outlineLevel="0" collapsed="false">
      <c r="A160" s="11" t="n">
        <v>156</v>
      </c>
      <c r="B160" s="14" t="s">
        <v>769</v>
      </c>
      <c r="C160" s="11" t="s">
        <v>770</v>
      </c>
      <c r="D160" s="11" t="n">
        <v>0.6</v>
      </c>
      <c r="E160" s="11" t="n">
        <v>1</v>
      </c>
      <c r="F160" s="11" t="n">
        <v>1</v>
      </c>
      <c r="G160" s="13" t="n">
        <v>37000</v>
      </c>
      <c r="H160" s="11" t="n">
        <v>0</v>
      </c>
      <c r="I160" s="11" t="n">
        <v>1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1</v>
      </c>
      <c r="P160" s="11" t="n">
        <v>0</v>
      </c>
      <c r="Q160" s="11" t="n">
        <v>0</v>
      </c>
      <c r="R160" s="14" t="s">
        <v>771</v>
      </c>
      <c r="S160" s="15" t="n">
        <v>1</v>
      </c>
      <c r="T160" s="11" t="s">
        <v>772</v>
      </c>
      <c r="U160" s="14" t="s">
        <v>773</v>
      </c>
      <c r="V160" s="16" t="s">
        <v>56</v>
      </c>
      <c r="W160" s="17" t="s">
        <v>4</v>
      </c>
      <c r="X160" s="17"/>
      <c r="Y160" s="18"/>
      <c r="Z160" s="18"/>
      <c r="AA160" s="17"/>
      <c r="AB160" s="18"/>
    </row>
    <row r="161" customFormat="false" ht="23.85" hidden="false" customHeight="false" outlineLevel="0" collapsed="false">
      <c r="A161" s="11" t="n">
        <v>157</v>
      </c>
      <c r="B161" s="14" t="s">
        <v>774</v>
      </c>
      <c r="C161" s="11" t="s">
        <v>775</v>
      </c>
      <c r="D161" s="11" t="n">
        <v>0.6</v>
      </c>
      <c r="E161" s="11" t="n">
        <v>1</v>
      </c>
      <c r="F161" s="11" t="n">
        <v>1</v>
      </c>
      <c r="G161" s="13" t="n">
        <v>6250</v>
      </c>
      <c r="H161" s="11" t="n">
        <v>0</v>
      </c>
      <c r="I161" s="11" t="n">
        <v>1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1</v>
      </c>
      <c r="O161" s="11" t="n">
        <v>0</v>
      </c>
      <c r="P161" s="11" t="n">
        <v>0</v>
      </c>
      <c r="Q161" s="11" t="n">
        <v>0</v>
      </c>
      <c r="R161" s="14" t="s">
        <v>776</v>
      </c>
      <c r="S161" s="15" t="n">
        <v>1</v>
      </c>
      <c r="T161" s="11" t="s">
        <v>777</v>
      </c>
      <c r="U161" s="14" t="s">
        <v>778</v>
      </c>
      <c r="V161" s="16" t="s">
        <v>56</v>
      </c>
      <c r="W161" s="17" t="s">
        <v>4</v>
      </c>
      <c r="X161" s="17"/>
      <c r="Y161" s="18"/>
      <c r="Z161" s="18"/>
      <c r="AA161" s="17"/>
      <c r="AB161" s="18"/>
    </row>
    <row r="162" customFormat="false" ht="35.05" hidden="false" customHeight="false" outlineLevel="0" collapsed="false">
      <c r="A162" s="11" t="n">
        <v>158</v>
      </c>
      <c r="B162" s="14" t="s">
        <v>779</v>
      </c>
      <c r="C162" s="11" t="s">
        <v>780</v>
      </c>
      <c r="D162" s="11" t="n">
        <v>0.6</v>
      </c>
      <c r="E162" s="11" t="n">
        <v>1</v>
      </c>
      <c r="F162" s="11" t="n">
        <v>1</v>
      </c>
      <c r="G162" s="13" t="n">
        <v>22300</v>
      </c>
      <c r="H162" s="11" t="n">
        <v>0</v>
      </c>
      <c r="I162" s="11" t="n">
        <v>1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1</v>
      </c>
      <c r="P162" s="11" t="n">
        <v>0</v>
      </c>
      <c r="Q162" s="11" t="n">
        <v>0</v>
      </c>
      <c r="R162" s="14" t="s">
        <v>781</v>
      </c>
      <c r="S162" s="15" t="n">
        <v>1</v>
      </c>
      <c r="T162" s="11" t="s">
        <v>385</v>
      </c>
      <c r="U162" s="14" t="s">
        <v>782</v>
      </c>
      <c r="V162" s="16" t="s">
        <v>56</v>
      </c>
      <c r="W162" s="17" t="s">
        <v>4</v>
      </c>
      <c r="X162" s="17"/>
      <c r="Y162" s="18"/>
      <c r="Z162" s="18"/>
      <c r="AA162" s="17"/>
      <c r="AB162" s="18"/>
    </row>
    <row r="163" customFormat="false" ht="35.05" hidden="false" customHeight="false" outlineLevel="0" collapsed="false">
      <c r="A163" s="11" t="n">
        <v>159</v>
      </c>
      <c r="B163" s="14" t="s">
        <v>783</v>
      </c>
      <c r="C163" s="11" t="s">
        <v>784</v>
      </c>
      <c r="D163" s="11" t="n">
        <v>0.6</v>
      </c>
      <c r="E163" s="11" t="n">
        <v>1</v>
      </c>
      <c r="F163" s="11" t="n">
        <v>1</v>
      </c>
      <c r="G163" s="13" t="n">
        <v>9900</v>
      </c>
      <c r="H163" s="11" t="n">
        <v>0</v>
      </c>
      <c r="I163" s="11" t="n">
        <v>1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1</v>
      </c>
      <c r="O163" s="11" t="n">
        <v>0</v>
      </c>
      <c r="P163" s="11" t="n">
        <v>0</v>
      </c>
      <c r="Q163" s="11" t="n">
        <v>0</v>
      </c>
      <c r="R163" s="14" t="s">
        <v>785</v>
      </c>
      <c r="S163" s="15" t="n">
        <v>1</v>
      </c>
      <c r="T163" s="11" t="s">
        <v>385</v>
      </c>
      <c r="U163" s="14" t="s">
        <v>786</v>
      </c>
      <c r="V163" s="16" t="s">
        <v>56</v>
      </c>
      <c r="W163" s="17" t="s">
        <v>4</v>
      </c>
      <c r="X163" s="17"/>
      <c r="Y163" s="18"/>
      <c r="Z163" s="18"/>
      <c r="AA163" s="17"/>
      <c r="AB163" s="18"/>
    </row>
    <row r="164" customFormat="false" ht="35.05" hidden="false" customHeight="false" outlineLevel="0" collapsed="false">
      <c r="A164" s="11" t="n">
        <v>160</v>
      </c>
      <c r="B164" s="14" t="s">
        <v>787</v>
      </c>
      <c r="C164" s="11" t="s">
        <v>788</v>
      </c>
      <c r="D164" s="11" t="n">
        <v>0.6</v>
      </c>
      <c r="E164" s="11" t="n">
        <v>1</v>
      </c>
      <c r="F164" s="11" t="n">
        <v>1</v>
      </c>
      <c r="G164" s="13" t="n">
        <v>50200</v>
      </c>
      <c r="H164" s="11" t="n">
        <v>0</v>
      </c>
      <c r="I164" s="11" t="n">
        <v>1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1</v>
      </c>
      <c r="P164" s="11" t="n">
        <v>0</v>
      </c>
      <c r="Q164" s="11" t="n">
        <v>0</v>
      </c>
      <c r="R164" s="14" t="s">
        <v>789</v>
      </c>
      <c r="S164" s="15" t="n">
        <v>1</v>
      </c>
      <c r="T164" s="11" t="s">
        <v>790</v>
      </c>
      <c r="U164" s="14" t="s">
        <v>791</v>
      </c>
      <c r="V164" s="16" t="s">
        <v>56</v>
      </c>
      <c r="W164" s="17" t="s">
        <v>4</v>
      </c>
      <c r="X164" s="17"/>
      <c r="Y164" s="18"/>
      <c r="Z164" s="18"/>
      <c r="AA164" s="17"/>
      <c r="AB164" s="18"/>
    </row>
    <row r="165" customFormat="false" ht="35.05" hidden="false" customHeight="false" outlineLevel="0" collapsed="false">
      <c r="A165" s="11" t="n">
        <v>161</v>
      </c>
      <c r="B165" s="14" t="s">
        <v>792</v>
      </c>
      <c r="C165" s="11" t="s">
        <v>793</v>
      </c>
      <c r="D165" s="11" t="n">
        <v>0.6</v>
      </c>
      <c r="E165" s="11" t="n">
        <v>1</v>
      </c>
      <c r="F165" s="11" t="n">
        <v>1</v>
      </c>
      <c r="G165" s="13" t="n">
        <v>12000</v>
      </c>
      <c r="H165" s="11" t="n">
        <v>0</v>
      </c>
      <c r="I165" s="11" t="n">
        <v>1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1</v>
      </c>
      <c r="O165" s="11" t="n">
        <v>0</v>
      </c>
      <c r="P165" s="11" t="n">
        <v>0</v>
      </c>
      <c r="Q165" s="11" t="n">
        <v>0</v>
      </c>
      <c r="R165" s="14" t="s">
        <v>794</v>
      </c>
      <c r="S165" s="15" t="n">
        <v>1</v>
      </c>
      <c r="T165" s="11" t="s">
        <v>795</v>
      </c>
      <c r="U165" s="14" t="s">
        <v>796</v>
      </c>
      <c r="V165" s="16" t="s">
        <v>56</v>
      </c>
      <c r="W165" s="17" t="s">
        <v>4</v>
      </c>
      <c r="X165" s="17"/>
      <c r="Y165" s="18"/>
      <c r="Z165" s="18"/>
      <c r="AA165" s="17"/>
      <c r="AB165" s="18"/>
    </row>
    <row r="166" customFormat="false" ht="35.05" hidden="false" customHeight="false" outlineLevel="0" collapsed="false">
      <c r="A166" s="11" t="n">
        <v>162</v>
      </c>
      <c r="B166" s="14" t="s">
        <v>797</v>
      </c>
      <c r="C166" s="11" t="s">
        <v>798</v>
      </c>
      <c r="D166" s="11" t="n">
        <v>0.6</v>
      </c>
      <c r="E166" s="11" t="n">
        <v>1</v>
      </c>
      <c r="F166" s="11" t="n">
        <v>1</v>
      </c>
      <c r="G166" s="13" t="n">
        <v>59993</v>
      </c>
      <c r="H166" s="11" t="n">
        <v>0</v>
      </c>
      <c r="I166" s="11" t="n">
        <v>1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1</v>
      </c>
      <c r="P166" s="11" t="n">
        <v>0</v>
      </c>
      <c r="Q166" s="11" t="n">
        <v>0</v>
      </c>
      <c r="R166" s="14" t="s">
        <v>799</v>
      </c>
      <c r="S166" s="15" t="n">
        <v>1</v>
      </c>
      <c r="T166" s="11" t="s">
        <v>800</v>
      </c>
      <c r="U166" s="14" t="s">
        <v>801</v>
      </c>
      <c r="V166" s="16" t="s">
        <v>56</v>
      </c>
      <c r="W166" s="17" t="s">
        <v>4</v>
      </c>
      <c r="X166" s="17"/>
      <c r="Y166" s="18"/>
      <c r="Z166" s="18"/>
      <c r="AA166" s="17"/>
      <c r="AB166" s="18"/>
    </row>
    <row r="167" customFormat="false" ht="23.85" hidden="false" customHeight="false" outlineLevel="0" collapsed="false">
      <c r="A167" s="11" t="n">
        <v>163</v>
      </c>
      <c r="B167" s="14" t="s">
        <v>802</v>
      </c>
      <c r="C167" s="11" t="s">
        <v>803</v>
      </c>
      <c r="D167" s="11" t="n">
        <v>0.6</v>
      </c>
      <c r="E167" s="11" t="n">
        <v>1</v>
      </c>
      <c r="F167" s="11" t="n">
        <v>1</v>
      </c>
      <c r="G167" s="13" t="n">
        <v>5000</v>
      </c>
      <c r="H167" s="11" t="n">
        <v>0</v>
      </c>
      <c r="I167" s="11" t="n">
        <v>1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1</v>
      </c>
      <c r="O167" s="11" t="n">
        <v>0</v>
      </c>
      <c r="P167" s="11" t="n">
        <v>0</v>
      </c>
      <c r="Q167" s="11" t="n">
        <v>0</v>
      </c>
      <c r="R167" s="14" t="s">
        <v>804</v>
      </c>
      <c r="S167" s="15" t="n">
        <v>1</v>
      </c>
      <c r="T167" s="11" t="s">
        <v>805</v>
      </c>
      <c r="U167" s="14" t="s">
        <v>806</v>
      </c>
      <c r="V167" s="16" t="s">
        <v>56</v>
      </c>
      <c r="W167" s="17" t="s">
        <v>4</v>
      </c>
      <c r="X167" s="17"/>
      <c r="Y167" s="18"/>
      <c r="Z167" s="18"/>
      <c r="AA167" s="17"/>
      <c r="AB167" s="18"/>
    </row>
    <row r="168" customFormat="false" ht="35.05" hidden="false" customHeight="false" outlineLevel="0" collapsed="false">
      <c r="A168" s="11" t="n">
        <v>164</v>
      </c>
      <c r="B168" s="14" t="s">
        <v>807</v>
      </c>
      <c r="C168" s="11" t="s">
        <v>808</v>
      </c>
      <c r="D168" s="11" t="n">
        <v>0.6</v>
      </c>
      <c r="E168" s="11" t="n">
        <v>1</v>
      </c>
      <c r="F168" s="11" t="n">
        <v>1</v>
      </c>
      <c r="G168" s="13" t="n">
        <v>18250</v>
      </c>
      <c r="H168" s="11" t="n">
        <v>0</v>
      </c>
      <c r="I168" s="11" t="n">
        <v>1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1</v>
      </c>
      <c r="O168" s="11" t="n">
        <v>0</v>
      </c>
      <c r="P168" s="11" t="n">
        <v>0</v>
      </c>
      <c r="Q168" s="11" t="n">
        <v>0</v>
      </c>
      <c r="R168" s="14" t="s">
        <v>785</v>
      </c>
      <c r="S168" s="15" t="n">
        <v>1</v>
      </c>
      <c r="T168" s="11" t="s">
        <v>809</v>
      </c>
      <c r="U168" s="14" t="s">
        <v>810</v>
      </c>
      <c r="V168" s="16" t="s">
        <v>56</v>
      </c>
      <c r="W168" s="17" t="s">
        <v>4</v>
      </c>
      <c r="X168" s="17"/>
      <c r="Y168" s="18"/>
      <c r="Z168" s="18"/>
      <c r="AA168" s="17"/>
      <c r="AB168" s="18"/>
    </row>
    <row r="169" customFormat="false" ht="35.05" hidden="false" customHeight="false" outlineLevel="0" collapsed="false">
      <c r="A169" s="11" t="n">
        <v>165</v>
      </c>
      <c r="B169" s="14" t="s">
        <v>811</v>
      </c>
      <c r="C169" s="11" t="s">
        <v>812</v>
      </c>
      <c r="D169" s="11" t="n">
        <v>0.6</v>
      </c>
      <c r="E169" s="11" t="n">
        <v>1</v>
      </c>
      <c r="F169" s="11" t="n">
        <v>1</v>
      </c>
      <c r="G169" s="13" t="n">
        <v>37000</v>
      </c>
      <c r="H169" s="11" t="n">
        <v>0</v>
      </c>
      <c r="I169" s="11" t="n">
        <v>1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1</v>
      </c>
      <c r="P169" s="11" t="n">
        <v>0</v>
      </c>
      <c r="Q169" s="11" t="n">
        <v>0</v>
      </c>
      <c r="R169" s="14" t="s">
        <v>813</v>
      </c>
      <c r="S169" s="15" t="n">
        <v>1</v>
      </c>
      <c r="T169" s="11" t="s">
        <v>814</v>
      </c>
      <c r="U169" s="14" t="s">
        <v>815</v>
      </c>
      <c r="V169" s="16" t="s">
        <v>56</v>
      </c>
      <c r="W169" s="17" t="s">
        <v>4</v>
      </c>
      <c r="X169" s="17"/>
      <c r="Y169" s="18"/>
      <c r="Z169" s="18"/>
      <c r="AA169" s="17"/>
      <c r="AB169" s="18"/>
    </row>
    <row r="170" customFormat="false" ht="35.05" hidden="false" customHeight="false" outlineLevel="0" collapsed="false">
      <c r="A170" s="11" t="n">
        <v>166</v>
      </c>
      <c r="B170" s="14" t="s">
        <v>816</v>
      </c>
      <c r="C170" s="11" t="s">
        <v>817</v>
      </c>
      <c r="D170" s="11" t="n">
        <v>0.6</v>
      </c>
      <c r="E170" s="11" t="n">
        <v>1</v>
      </c>
      <c r="F170" s="11" t="n">
        <v>1</v>
      </c>
      <c r="G170" s="13" t="n">
        <v>9324</v>
      </c>
      <c r="H170" s="11" t="n">
        <v>0</v>
      </c>
      <c r="I170" s="11" t="n">
        <v>1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1</v>
      </c>
      <c r="O170" s="11" t="n">
        <v>0</v>
      </c>
      <c r="P170" s="11" t="n">
        <v>0</v>
      </c>
      <c r="Q170" s="11" t="n">
        <v>0</v>
      </c>
      <c r="R170" s="14" t="s">
        <v>818</v>
      </c>
      <c r="S170" s="15" t="n">
        <v>1</v>
      </c>
      <c r="T170" s="11" t="s">
        <v>819</v>
      </c>
      <c r="U170" s="14" t="s">
        <v>820</v>
      </c>
      <c r="V170" s="16" t="s">
        <v>56</v>
      </c>
      <c r="W170" s="17" t="s">
        <v>4</v>
      </c>
      <c r="X170" s="17"/>
      <c r="Y170" s="18"/>
      <c r="Z170" s="18"/>
      <c r="AA170" s="17"/>
      <c r="AB170" s="18"/>
    </row>
    <row r="171" customFormat="false" ht="23.85" hidden="false" customHeight="false" outlineLevel="0" collapsed="false">
      <c r="A171" s="11" t="n">
        <v>167</v>
      </c>
      <c r="B171" s="14" t="s">
        <v>821</v>
      </c>
      <c r="C171" s="11" t="s">
        <v>822</v>
      </c>
      <c r="D171" s="11" t="n">
        <v>0.6</v>
      </c>
      <c r="E171" s="11" t="n">
        <v>1</v>
      </c>
      <c r="F171" s="11" t="n">
        <v>1</v>
      </c>
      <c r="G171" s="13" t="n">
        <v>19600</v>
      </c>
      <c r="H171" s="11" t="n">
        <v>0</v>
      </c>
      <c r="I171" s="11" t="n">
        <v>1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1</v>
      </c>
      <c r="O171" s="11" t="n">
        <v>0</v>
      </c>
      <c r="P171" s="11" t="n">
        <v>0</v>
      </c>
      <c r="Q171" s="11" t="n">
        <v>0</v>
      </c>
      <c r="R171" s="14" t="s">
        <v>823</v>
      </c>
      <c r="S171" s="15" t="n">
        <v>1</v>
      </c>
      <c r="T171" s="11" t="s">
        <v>824</v>
      </c>
      <c r="U171" s="14" t="s">
        <v>825</v>
      </c>
      <c r="V171" s="16" t="s">
        <v>56</v>
      </c>
      <c r="W171" s="17" t="s">
        <v>4</v>
      </c>
      <c r="X171" s="17"/>
      <c r="Y171" s="18"/>
      <c r="Z171" s="18"/>
      <c r="AA171" s="17"/>
      <c r="AB171" s="18"/>
    </row>
    <row r="172" customFormat="false" ht="23.85" hidden="false" customHeight="false" outlineLevel="0" collapsed="false">
      <c r="A172" s="11" t="n">
        <v>168</v>
      </c>
      <c r="B172" s="14" t="s">
        <v>826</v>
      </c>
      <c r="C172" s="11" t="s">
        <v>827</v>
      </c>
      <c r="D172" s="11" t="n">
        <v>0.6</v>
      </c>
      <c r="E172" s="11" t="n">
        <v>1</v>
      </c>
      <c r="F172" s="11" t="n">
        <v>1</v>
      </c>
      <c r="G172" s="13" t="n">
        <v>5850</v>
      </c>
      <c r="H172" s="11" t="n">
        <v>0</v>
      </c>
      <c r="I172" s="11" t="n">
        <v>1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1</v>
      </c>
      <c r="O172" s="11" t="n">
        <v>0</v>
      </c>
      <c r="P172" s="11" t="n">
        <v>0</v>
      </c>
      <c r="Q172" s="11" t="n">
        <v>0</v>
      </c>
      <c r="R172" s="14" t="s">
        <v>828</v>
      </c>
      <c r="S172" s="15" t="n">
        <v>1</v>
      </c>
      <c r="T172" s="11" t="s">
        <v>829</v>
      </c>
      <c r="U172" s="14" t="s">
        <v>830</v>
      </c>
      <c r="V172" s="16" t="s">
        <v>56</v>
      </c>
      <c r="W172" s="17" t="s">
        <v>4</v>
      </c>
      <c r="X172" s="17"/>
      <c r="Y172" s="18"/>
      <c r="Z172" s="18"/>
      <c r="AA172" s="17"/>
      <c r="AB172" s="18"/>
    </row>
    <row r="173" customFormat="false" ht="35.05" hidden="false" customHeight="false" outlineLevel="0" collapsed="false">
      <c r="A173" s="11" t="n">
        <v>169</v>
      </c>
      <c r="B173" s="14" t="s">
        <v>831</v>
      </c>
      <c r="C173" s="11" t="s">
        <v>832</v>
      </c>
      <c r="D173" s="11" t="n">
        <v>0.6</v>
      </c>
      <c r="E173" s="11" t="n">
        <v>1</v>
      </c>
      <c r="F173" s="11" t="n">
        <v>1</v>
      </c>
      <c r="G173" s="13" t="n">
        <v>6950</v>
      </c>
      <c r="H173" s="11" t="n">
        <v>0</v>
      </c>
      <c r="I173" s="11" t="n">
        <v>1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1</v>
      </c>
      <c r="O173" s="11" t="n">
        <v>0</v>
      </c>
      <c r="P173" s="11" t="n">
        <v>0</v>
      </c>
      <c r="Q173" s="11" t="n">
        <v>0</v>
      </c>
      <c r="R173" s="14" t="s">
        <v>833</v>
      </c>
      <c r="S173" s="15" t="n">
        <v>1</v>
      </c>
      <c r="T173" s="11" t="s">
        <v>834</v>
      </c>
      <c r="U173" s="14" t="s">
        <v>835</v>
      </c>
      <c r="V173" s="16" t="s">
        <v>56</v>
      </c>
      <c r="W173" s="17" t="s">
        <v>4</v>
      </c>
      <c r="X173" s="17"/>
      <c r="Y173" s="18"/>
      <c r="Z173" s="18"/>
      <c r="AA173" s="17"/>
      <c r="AB173" s="18"/>
    </row>
    <row r="174" customFormat="false" ht="35.05" hidden="false" customHeight="false" outlineLevel="0" collapsed="false">
      <c r="A174" s="11" t="n">
        <v>170</v>
      </c>
      <c r="B174" s="14" t="s">
        <v>836</v>
      </c>
      <c r="C174" s="11" t="s">
        <v>837</v>
      </c>
      <c r="D174" s="11" t="n">
        <v>0.6</v>
      </c>
      <c r="E174" s="11" t="n">
        <v>1</v>
      </c>
      <c r="F174" s="11" t="n">
        <v>1</v>
      </c>
      <c r="G174" s="13" t="n">
        <v>47805</v>
      </c>
      <c r="H174" s="11" t="n">
        <v>0</v>
      </c>
      <c r="I174" s="11" t="n">
        <v>1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1</v>
      </c>
      <c r="P174" s="11" t="n">
        <v>0</v>
      </c>
      <c r="Q174" s="11" t="n">
        <v>0</v>
      </c>
      <c r="R174" s="14" t="s">
        <v>838</v>
      </c>
      <c r="S174" s="15" t="n">
        <v>1</v>
      </c>
      <c r="T174" s="11" t="s">
        <v>839</v>
      </c>
      <c r="U174" s="14" t="s">
        <v>840</v>
      </c>
      <c r="V174" s="16" t="s">
        <v>56</v>
      </c>
      <c r="W174" s="17" t="s">
        <v>4</v>
      </c>
      <c r="X174" s="17"/>
      <c r="Y174" s="18"/>
      <c r="Z174" s="18"/>
      <c r="AA174" s="17"/>
      <c r="AB174" s="18"/>
    </row>
    <row r="175" customFormat="false" ht="15" hidden="false" customHeight="false" outlineLevel="0" collapsed="false">
      <c r="A175" s="11" t="n">
        <v>171</v>
      </c>
      <c r="B175" s="14" t="s">
        <v>841</v>
      </c>
      <c r="C175" s="11" t="s">
        <v>842</v>
      </c>
      <c r="D175" s="11" t="n">
        <v>0.6</v>
      </c>
      <c r="E175" s="11" t="n">
        <v>1</v>
      </c>
      <c r="F175" s="11" t="n">
        <v>1</v>
      </c>
      <c r="G175" s="13" t="n">
        <v>84876</v>
      </c>
      <c r="H175" s="11" t="n">
        <v>1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1</v>
      </c>
      <c r="Q175" s="11" t="n">
        <v>0</v>
      </c>
      <c r="R175" s="14" t="s">
        <v>843</v>
      </c>
      <c r="S175" s="15" t="n">
        <v>1</v>
      </c>
      <c r="T175" s="11" t="s">
        <v>844</v>
      </c>
      <c r="U175" s="14" t="s">
        <v>845</v>
      </c>
      <c r="V175" s="16" t="s">
        <v>56</v>
      </c>
      <c r="W175" s="17" t="s">
        <v>4</v>
      </c>
      <c r="X175" s="17"/>
      <c r="Y175" s="18"/>
      <c r="Z175" s="18"/>
      <c r="AA175" s="17"/>
      <c r="AB175" s="18"/>
    </row>
    <row r="176" customFormat="false" ht="15" hidden="false" customHeight="false" outlineLevel="0" collapsed="false">
      <c r="A176" s="11" t="n">
        <v>172</v>
      </c>
      <c r="B176" s="14" t="s">
        <v>846</v>
      </c>
      <c r="C176" s="11" t="s">
        <v>847</v>
      </c>
      <c r="D176" s="11" t="n">
        <v>0.6</v>
      </c>
      <c r="E176" s="11" t="n">
        <v>1</v>
      </c>
      <c r="F176" s="11" t="n">
        <v>1</v>
      </c>
      <c r="G176" s="13" t="n">
        <v>69000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1</v>
      </c>
      <c r="M176" s="11" t="n">
        <v>0</v>
      </c>
      <c r="N176" s="11" t="n">
        <v>0</v>
      </c>
      <c r="O176" s="11" t="n">
        <v>1</v>
      </c>
      <c r="P176" s="11" t="n">
        <v>0</v>
      </c>
      <c r="Q176" s="11" t="n">
        <v>0</v>
      </c>
      <c r="R176" s="14" t="s">
        <v>848</v>
      </c>
      <c r="S176" s="15" t="n">
        <v>1</v>
      </c>
      <c r="T176" s="11" t="s">
        <v>849</v>
      </c>
      <c r="U176" s="14" t="s">
        <v>850</v>
      </c>
      <c r="V176" s="16" t="s">
        <v>56</v>
      </c>
      <c r="W176" s="17" t="s">
        <v>4</v>
      </c>
      <c r="X176" s="17"/>
      <c r="Y176" s="18"/>
      <c r="Z176" s="18"/>
      <c r="AA176" s="17"/>
      <c r="AB176" s="18"/>
    </row>
    <row r="177" customFormat="false" ht="15" hidden="false" customHeight="false" outlineLevel="0" collapsed="false">
      <c r="A177" s="11" t="n">
        <v>173</v>
      </c>
      <c r="B177" s="14" t="s">
        <v>851</v>
      </c>
      <c r="C177" s="11" t="s">
        <v>852</v>
      </c>
      <c r="D177" s="11" t="n">
        <v>0.6</v>
      </c>
      <c r="E177" s="11" t="n">
        <v>1</v>
      </c>
      <c r="F177" s="11" t="n">
        <v>1</v>
      </c>
      <c r="G177" s="13" t="n">
        <v>14818</v>
      </c>
      <c r="H177" s="11" t="n">
        <v>1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1</v>
      </c>
      <c r="O177" s="11" t="n">
        <v>0</v>
      </c>
      <c r="P177" s="11" t="n">
        <v>0</v>
      </c>
      <c r="Q177" s="11" t="n">
        <v>0</v>
      </c>
      <c r="R177" s="14" t="s">
        <v>853</v>
      </c>
      <c r="S177" s="15" t="n">
        <v>1</v>
      </c>
      <c r="T177" s="11" t="s">
        <v>854</v>
      </c>
      <c r="U177" s="14" t="s">
        <v>855</v>
      </c>
      <c r="V177" s="16" t="s">
        <v>56</v>
      </c>
      <c r="W177" s="17" t="s">
        <v>4</v>
      </c>
      <c r="X177" s="17"/>
      <c r="Y177" s="18"/>
      <c r="Z177" s="18"/>
      <c r="AA177" s="17"/>
      <c r="AB177" s="18"/>
    </row>
    <row r="178" customFormat="false" ht="35.05" hidden="false" customHeight="false" outlineLevel="0" collapsed="false">
      <c r="A178" s="11" t="n">
        <v>174</v>
      </c>
      <c r="B178" s="14" t="s">
        <v>856</v>
      </c>
      <c r="C178" s="11" t="s">
        <v>857</v>
      </c>
      <c r="D178" s="11" t="n">
        <v>0.6</v>
      </c>
      <c r="E178" s="11" t="n">
        <v>1</v>
      </c>
      <c r="F178" s="11" t="n">
        <v>1</v>
      </c>
      <c r="G178" s="13" t="n">
        <v>144960</v>
      </c>
      <c r="H178" s="11" t="n">
        <v>1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  <c r="P178" s="11" t="n">
        <v>1</v>
      </c>
      <c r="Q178" s="11" t="n">
        <v>0</v>
      </c>
      <c r="R178" s="14" t="s">
        <v>858</v>
      </c>
      <c r="S178" s="15" t="n">
        <v>1</v>
      </c>
      <c r="T178" s="11" t="s">
        <v>859</v>
      </c>
      <c r="U178" s="14" t="s">
        <v>860</v>
      </c>
      <c r="V178" s="16" t="s">
        <v>56</v>
      </c>
      <c r="W178" s="17" t="s">
        <v>4</v>
      </c>
      <c r="X178" s="17"/>
      <c r="Y178" s="18"/>
      <c r="Z178" s="18"/>
      <c r="AA178" s="17"/>
      <c r="AB178" s="18"/>
    </row>
    <row r="179" customFormat="false" ht="35.05" hidden="false" customHeight="false" outlineLevel="0" collapsed="false">
      <c r="A179" s="11" t="n">
        <v>175</v>
      </c>
      <c r="B179" s="14" t="s">
        <v>861</v>
      </c>
      <c r="C179" s="11" t="s">
        <v>862</v>
      </c>
      <c r="D179" s="11" t="n">
        <v>0.5</v>
      </c>
      <c r="E179" s="11" t="n">
        <v>1</v>
      </c>
      <c r="F179" s="11" t="n">
        <v>1</v>
      </c>
      <c r="G179" s="13" t="n">
        <v>8827</v>
      </c>
      <c r="H179" s="11" t="n">
        <v>0</v>
      </c>
      <c r="I179" s="11" t="n">
        <v>0</v>
      </c>
      <c r="J179" s="11" t="n">
        <v>1</v>
      </c>
      <c r="K179" s="11" t="n">
        <v>0</v>
      </c>
      <c r="L179" s="11" t="n">
        <v>0</v>
      </c>
      <c r="M179" s="11" t="n">
        <v>0</v>
      </c>
      <c r="N179" s="11" t="n">
        <v>1</v>
      </c>
      <c r="O179" s="11" t="n">
        <v>0</v>
      </c>
      <c r="P179" s="11" t="n">
        <v>0</v>
      </c>
      <c r="Q179" s="11" t="n">
        <v>0</v>
      </c>
      <c r="R179" s="14" t="s">
        <v>863</v>
      </c>
      <c r="S179" s="15" t="n">
        <v>1</v>
      </c>
      <c r="T179" s="11" t="s">
        <v>164</v>
      </c>
      <c r="U179" s="14" t="s">
        <v>864</v>
      </c>
      <c r="V179" s="16" t="s">
        <v>56</v>
      </c>
      <c r="W179" s="17" t="s">
        <v>4</v>
      </c>
      <c r="X179" s="17"/>
      <c r="Y179" s="18"/>
      <c r="Z179" s="18"/>
      <c r="AA179" s="17"/>
      <c r="AB179" s="18"/>
    </row>
    <row r="180" customFormat="false" ht="23.85" hidden="false" customHeight="false" outlineLevel="0" collapsed="false">
      <c r="A180" s="11" t="n">
        <v>176</v>
      </c>
      <c r="B180" s="14" t="s">
        <v>865</v>
      </c>
      <c r="C180" s="11" t="s">
        <v>866</v>
      </c>
      <c r="D180" s="11" t="n">
        <v>0.5</v>
      </c>
      <c r="E180" s="11" t="n">
        <v>1</v>
      </c>
      <c r="F180" s="11" t="n">
        <v>1</v>
      </c>
      <c r="G180" s="13" t="n">
        <v>74970</v>
      </c>
      <c r="H180" s="11" t="n">
        <v>0</v>
      </c>
      <c r="I180" s="11" t="n">
        <v>0</v>
      </c>
      <c r="J180" s="11" t="n">
        <v>1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1</v>
      </c>
      <c r="P180" s="11" t="n">
        <v>0</v>
      </c>
      <c r="Q180" s="11" t="n">
        <v>0</v>
      </c>
      <c r="R180" s="14" t="s">
        <v>867</v>
      </c>
      <c r="S180" s="15" t="n">
        <v>1</v>
      </c>
      <c r="T180" s="11" t="s">
        <v>868</v>
      </c>
      <c r="U180" s="14" t="s">
        <v>869</v>
      </c>
      <c r="V180" s="16" t="s">
        <v>56</v>
      </c>
      <c r="W180" s="17" t="s">
        <v>4</v>
      </c>
      <c r="X180" s="17"/>
      <c r="Y180" s="18"/>
      <c r="Z180" s="18"/>
      <c r="AA180" s="17"/>
      <c r="AB180" s="18"/>
    </row>
    <row r="181" customFormat="false" ht="35.05" hidden="false" customHeight="false" outlineLevel="0" collapsed="false">
      <c r="A181" s="11" t="n">
        <v>177</v>
      </c>
      <c r="B181" s="14" t="s">
        <v>870</v>
      </c>
      <c r="C181" s="11" t="s">
        <v>871</v>
      </c>
      <c r="D181" s="11" t="n">
        <v>0.5</v>
      </c>
      <c r="E181" s="11" t="n">
        <v>1</v>
      </c>
      <c r="F181" s="11" t="n">
        <v>1</v>
      </c>
      <c r="G181" s="13" t="n">
        <v>64024</v>
      </c>
      <c r="H181" s="11" t="n">
        <v>0</v>
      </c>
      <c r="I181" s="11" t="n">
        <v>0</v>
      </c>
      <c r="J181" s="11" t="n">
        <v>1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1</v>
      </c>
      <c r="P181" s="11" t="n">
        <v>0</v>
      </c>
      <c r="Q181" s="11" t="n">
        <v>0</v>
      </c>
      <c r="R181" s="14" t="s">
        <v>872</v>
      </c>
      <c r="S181" s="15" t="n">
        <v>1</v>
      </c>
      <c r="T181" s="11" t="s">
        <v>873</v>
      </c>
      <c r="U181" s="14" t="s">
        <v>874</v>
      </c>
      <c r="V181" s="16" t="s">
        <v>56</v>
      </c>
      <c r="W181" s="17" t="s">
        <v>4</v>
      </c>
      <c r="X181" s="17"/>
      <c r="Y181" s="18"/>
      <c r="Z181" s="18"/>
      <c r="AA181" s="17"/>
      <c r="AB181" s="18"/>
    </row>
    <row r="182" customFormat="false" ht="23.85" hidden="false" customHeight="false" outlineLevel="0" collapsed="false">
      <c r="A182" s="11" t="n">
        <v>178</v>
      </c>
      <c r="B182" s="14" t="s">
        <v>875</v>
      </c>
      <c r="C182" s="11" t="s">
        <v>876</v>
      </c>
      <c r="D182" s="11" t="n">
        <v>0.5</v>
      </c>
      <c r="E182" s="11" t="n">
        <v>1</v>
      </c>
      <c r="F182" s="11" t="n">
        <v>1</v>
      </c>
      <c r="G182" s="13" t="n">
        <v>9246</v>
      </c>
      <c r="H182" s="11" t="n">
        <v>0</v>
      </c>
      <c r="I182" s="11" t="n">
        <v>0</v>
      </c>
      <c r="J182" s="11" t="n">
        <v>1</v>
      </c>
      <c r="K182" s="11" t="n">
        <v>0</v>
      </c>
      <c r="L182" s="11" t="n">
        <v>0</v>
      </c>
      <c r="M182" s="11" t="n">
        <v>0</v>
      </c>
      <c r="N182" s="11" t="n">
        <v>1</v>
      </c>
      <c r="O182" s="11" t="n">
        <v>0</v>
      </c>
      <c r="P182" s="11" t="n">
        <v>0</v>
      </c>
      <c r="Q182" s="11" t="n">
        <v>0</v>
      </c>
      <c r="R182" s="14" t="s">
        <v>877</v>
      </c>
      <c r="S182" s="15" t="n">
        <v>1</v>
      </c>
      <c r="T182" s="11" t="s">
        <v>122</v>
      </c>
      <c r="U182" s="14" t="s">
        <v>878</v>
      </c>
      <c r="V182" s="16" t="s">
        <v>56</v>
      </c>
      <c r="W182" s="17" t="s">
        <v>4</v>
      </c>
      <c r="X182" s="17"/>
      <c r="Y182" s="18"/>
      <c r="Z182" s="18"/>
      <c r="AA182" s="17"/>
      <c r="AB182" s="18"/>
    </row>
    <row r="183" customFormat="false" ht="35.05" hidden="false" customHeight="false" outlineLevel="0" collapsed="false">
      <c r="A183" s="11" t="n">
        <v>179</v>
      </c>
      <c r="B183" s="14" t="s">
        <v>879</v>
      </c>
      <c r="C183" s="11" t="s">
        <v>880</v>
      </c>
      <c r="D183" s="11" t="n">
        <v>0.5</v>
      </c>
      <c r="E183" s="11" t="n">
        <v>1</v>
      </c>
      <c r="F183" s="11" t="n">
        <v>1</v>
      </c>
      <c r="G183" s="13" t="n">
        <v>17923</v>
      </c>
      <c r="H183" s="11" t="n">
        <v>0</v>
      </c>
      <c r="I183" s="11" t="n">
        <v>0</v>
      </c>
      <c r="J183" s="11" t="n">
        <v>1</v>
      </c>
      <c r="K183" s="11" t="n">
        <v>0</v>
      </c>
      <c r="L183" s="11" t="n">
        <v>0</v>
      </c>
      <c r="M183" s="11" t="n">
        <v>0</v>
      </c>
      <c r="N183" s="11" t="n">
        <v>1</v>
      </c>
      <c r="O183" s="11" t="n">
        <v>0</v>
      </c>
      <c r="P183" s="11" t="n">
        <v>0</v>
      </c>
      <c r="Q183" s="11" t="n">
        <v>0</v>
      </c>
      <c r="R183" s="14" t="s">
        <v>881</v>
      </c>
      <c r="S183" s="15" t="n">
        <v>1</v>
      </c>
      <c r="T183" s="11" t="s">
        <v>132</v>
      </c>
      <c r="U183" s="14" t="s">
        <v>882</v>
      </c>
      <c r="V183" s="16" t="s">
        <v>56</v>
      </c>
      <c r="W183" s="17" t="s">
        <v>4</v>
      </c>
      <c r="X183" s="17"/>
      <c r="Y183" s="18"/>
      <c r="Z183" s="18"/>
      <c r="AA183" s="17"/>
      <c r="AB183" s="18"/>
    </row>
    <row r="184" customFormat="false" ht="23.85" hidden="false" customHeight="false" outlineLevel="0" collapsed="false">
      <c r="A184" s="11" t="n">
        <v>180</v>
      </c>
      <c r="B184" s="14" t="s">
        <v>883</v>
      </c>
      <c r="C184" s="11" t="s">
        <v>884</v>
      </c>
      <c r="D184" s="11" t="n">
        <v>0.5</v>
      </c>
      <c r="E184" s="11" t="n">
        <v>1</v>
      </c>
      <c r="F184" s="11" t="n">
        <v>1</v>
      </c>
      <c r="G184" s="13" t="n">
        <v>74950</v>
      </c>
      <c r="H184" s="11" t="n">
        <v>0</v>
      </c>
      <c r="I184" s="11" t="n">
        <v>0</v>
      </c>
      <c r="J184" s="11" t="n">
        <v>1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1</v>
      </c>
      <c r="P184" s="11" t="n">
        <v>0</v>
      </c>
      <c r="Q184" s="11" t="n">
        <v>0</v>
      </c>
      <c r="R184" s="14" t="s">
        <v>885</v>
      </c>
      <c r="S184" s="15" t="n">
        <v>1</v>
      </c>
      <c r="T184" s="11" t="s">
        <v>886</v>
      </c>
      <c r="U184" s="14" t="s">
        <v>887</v>
      </c>
      <c r="V184" s="16" t="s">
        <v>56</v>
      </c>
      <c r="W184" s="17" t="s">
        <v>4</v>
      </c>
      <c r="X184" s="17"/>
      <c r="Y184" s="18"/>
      <c r="Z184" s="18"/>
      <c r="AA184" s="17"/>
      <c r="AB184" s="18"/>
    </row>
    <row r="185" customFormat="false" ht="15" hidden="false" customHeight="false" outlineLevel="0" collapsed="false">
      <c r="A185" s="11" t="n">
        <v>181</v>
      </c>
      <c r="B185" s="14" t="s">
        <v>888</v>
      </c>
      <c r="C185" s="11" t="s">
        <v>889</v>
      </c>
      <c r="D185" s="11" t="n">
        <v>0.5</v>
      </c>
      <c r="E185" s="11" t="n">
        <v>1</v>
      </c>
      <c r="F185" s="11" t="n">
        <v>1</v>
      </c>
      <c r="G185" s="13" t="n">
        <v>1350</v>
      </c>
      <c r="H185" s="11" t="n">
        <v>0</v>
      </c>
      <c r="I185" s="11" t="n">
        <v>0</v>
      </c>
      <c r="J185" s="11" t="n">
        <v>1</v>
      </c>
      <c r="K185" s="11" t="n">
        <v>0</v>
      </c>
      <c r="L185" s="11" t="n">
        <v>0</v>
      </c>
      <c r="M185" s="11" t="n">
        <v>0</v>
      </c>
      <c r="N185" s="11" t="n">
        <v>1</v>
      </c>
      <c r="O185" s="11" t="n">
        <v>0</v>
      </c>
      <c r="P185" s="11" t="n">
        <v>0</v>
      </c>
      <c r="Q185" s="11" t="n">
        <v>0</v>
      </c>
      <c r="R185" s="14" t="s">
        <v>890</v>
      </c>
      <c r="S185" s="15" t="n">
        <v>1</v>
      </c>
      <c r="T185" s="11" t="s">
        <v>461</v>
      </c>
      <c r="U185" s="14" t="s">
        <v>891</v>
      </c>
      <c r="V185" s="16" t="s">
        <v>56</v>
      </c>
      <c r="W185" s="17" t="s">
        <v>4</v>
      </c>
      <c r="X185" s="17"/>
      <c r="Y185" s="18"/>
      <c r="Z185" s="18"/>
      <c r="AA185" s="17"/>
      <c r="AB185" s="18"/>
    </row>
    <row r="186" customFormat="false" ht="15" hidden="false" customHeight="false" outlineLevel="0" collapsed="false">
      <c r="A186" s="11" t="n">
        <v>182</v>
      </c>
      <c r="B186" s="14" t="s">
        <v>892</v>
      </c>
      <c r="C186" s="11" t="s">
        <v>893</v>
      </c>
      <c r="D186" s="11" t="n">
        <v>0.5</v>
      </c>
      <c r="E186" s="11" t="n">
        <v>1</v>
      </c>
      <c r="F186" s="11" t="n">
        <v>1</v>
      </c>
      <c r="G186" s="13" t="n">
        <v>8108</v>
      </c>
      <c r="H186" s="11" t="n">
        <v>0</v>
      </c>
      <c r="I186" s="11" t="n">
        <v>0</v>
      </c>
      <c r="J186" s="11" t="n">
        <v>1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0</v>
      </c>
      <c r="P186" s="11" t="n">
        <v>0</v>
      </c>
      <c r="Q186" s="11" t="n">
        <v>0</v>
      </c>
      <c r="R186" s="14" t="s">
        <v>894</v>
      </c>
      <c r="S186" s="15" t="n">
        <v>1</v>
      </c>
      <c r="T186" s="11" t="s">
        <v>461</v>
      </c>
      <c r="U186" s="14" t="s">
        <v>339</v>
      </c>
      <c r="V186" s="16" t="s">
        <v>56</v>
      </c>
      <c r="W186" s="17" t="s">
        <v>4</v>
      </c>
      <c r="X186" s="17"/>
      <c r="Y186" s="18"/>
      <c r="Z186" s="18"/>
      <c r="AA186" s="17"/>
      <c r="AB186" s="18"/>
    </row>
    <row r="187" customFormat="false" ht="23.85" hidden="false" customHeight="false" outlineLevel="0" collapsed="false">
      <c r="A187" s="11" t="n">
        <v>183</v>
      </c>
      <c r="B187" s="14" t="s">
        <v>895</v>
      </c>
      <c r="C187" s="11" t="s">
        <v>896</v>
      </c>
      <c r="D187" s="11" t="n">
        <v>0.5</v>
      </c>
      <c r="E187" s="11" t="n">
        <v>1</v>
      </c>
      <c r="F187" s="11" t="n">
        <v>1</v>
      </c>
      <c r="G187" s="13" t="n">
        <v>5000</v>
      </c>
      <c r="H187" s="11" t="n">
        <v>0</v>
      </c>
      <c r="I187" s="11" t="n">
        <v>0</v>
      </c>
      <c r="J187" s="11" t="n">
        <v>1</v>
      </c>
      <c r="K187" s="11" t="n">
        <v>0</v>
      </c>
      <c r="L187" s="11" t="n">
        <v>0</v>
      </c>
      <c r="M187" s="11" t="n">
        <v>0</v>
      </c>
      <c r="N187" s="11" t="n">
        <v>1</v>
      </c>
      <c r="O187" s="11" t="n">
        <v>0</v>
      </c>
      <c r="P187" s="11" t="n">
        <v>0</v>
      </c>
      <c r="Q187" s="11" t="n">
        <v>0</v>
      </c>
      <c r="R187" s="14" t="s">
        <v>897</v>
      </c>
      <c r="S187" s="15" t="n">
        <v>1</v>
      </c>
      <c r="T187" s="11" t="s">
        <v>236</v>
      </c>
      <c r="U187" s="14" t="s">
        <v>898</v>
      </c>
      <c r="V187" s="16" t="s">
        <v>56</v>
      </c>
      <c r="W187" s="17" t="s">
        <v>4</v>
      </c>
      <c r="X187" s="17"/>
      <c r="Y187" s="18"/>
      <c r="Z187" s="18"/>
      <c r="AA187" s="17"/>
      <c r="AB187" s="18"/>
    </row>
    <row r="188" customFormat="false" ht="23.85" hidden="false" customHeight="false" outlineLevel="0" collapsed="false">
      <c r="A188" s="11" t="n">
        <v>184</v>
      </c>
      <c r="B188" s="14" t="s">
        <v>899</v>
      </c>
      <c r="C188" s="11" t="s">
        <v>900</v>
      </c>
      <c r="D188" s="11" t="n">
        <v>0.5</v>
      </c>
      <c r="E188" s="11" t="n">
        <v>1</v>
      </c>
      <c r="F188" s="11" t="n">
        <v>1</v>
      </c>
      <c r="G188" s="13" t="n">
        <v>14855</v>
      </c>
      <c r="H188" s="11" t="n">
        <v>0</v>
      </c>
      <c r="I188" s="11" t="n">
        <v>0</v>
      </c>
      <c r="J188" s="11" t="n">
        <v>1</v>
      </c>
      <c r="K188" s="11" t="n">
        <v>0</v>
      </c>
      <c r="L188" s="11" t="n">
        <v>0</v>
      </c>
      <c r="M188" s="11" t="n">
        <v>0</v>
      </c>
      <c r="N188" s="11" t="n">
        <v>1</v>
      </c>
      <c r="O188" s="11" t="n">
        <v>0</v>
      </c>
      <c r="P188" s="11" t="n">
        <v>0</v>
      </c>
      <c r="Q188" s="11" t="n">
        <v>0</v>
      </c>
      <c r="R188" s="14" t="s">
        <v>901</v>
      </c>
      <c r="S188" s="15" t="n">
        <v>1</v>
      </c>
      <c r="T188" s="11" t="s">
        <v>902</v>
      </c>
      <c r="U188" s="14" t="s">
        <v>903</v>
      </c>
      <c r="V188" s="16" t="s">
        <v>56</v>
      </c>
      <c r="W188" s="17" t="s">
        <v>4</v>
      </c>
      <c r="X188" s="17"/>
      <c r="Y188" s="18"/>
      <c r="Z188" s="18"/>
      <c r="AA188" s="17"/>
      <c r="AB188" s="18"/>
    </row>
    <row r="189" customFormat="false" ht="15" hidden="false" customHeight="false" outlineLevel="0" collapsed="false">
      <c r="A189" s="11" t="n">
        <v>185</v>
      </c>
      <c r="B189" s="14" t="s">
        <v>904</v>
      </c>
      <c r="C189" s="11" t="s">
        <v>905</v>
      </c>
      <c r="D189" s="11" t="n">
        <v>0.5</v>
      </c>
      <c r="E189" s="11" t="n">
        <v>1</v>
      </c>
      <c r="F189" s="11" t="n">
        <v>1</v>
      </c>
      <c r="G189" s="13" t="n">
        <v>2090</v>
      </c>
      <c r="H189" s="11" t="n">
        <v>0</v>
      </c>
      <c r="I189" s="11" t="n">
        <v>0</v>
      </c>
      <c r="J189" s="11" t="n">
        <v>1</v>
      </c>
      <c r="K189" s="11" t="n">
        <v>0</v>
      </c>
      <c r="L189" s="11" t="n">
        <v>0</v>
      </c>
      <c r="M189" s="11" t="n">
        <v>0</v>
      </c>
      <c r="N189" s="11" t="n">
        <v>1</v>
      </c>
      <c r="O189" s="11" t="n">
        <v>0</v>
      </c>
      <c r="P189" s="11" t="n">
        <v>0</v>
      </c>
      <c r="Q189" s="11" t="n">
        <v>0</v>
      </c>
      <c r="R189" s="14" t="s">
        <v>906</v>
      </c>
      <c r="S189" s="15" t="n">
        <v>1</v>
      </c>
      <c r="T189" s="11" t="s">
        <v>395</v>
      </c>
      <c r="U189" s="14" t="s">
        <v>907</v>
      </c>
      <c r="V189" s="16" t="s">
        <v>56</v>
      </c>
      <c r="W189" s="17" t="s">
        <v>4</v>
      </c>
      <c r="X189" s="17"/>
      <c r="Y189" s="18"/>
      <c r="Z189" s="18"/>
      <c r="AA189" s="17"/>
      <c r="AB189" s="18"/>
    </row>
    <row r="190" customFormat="false" ht="35.05" hidden="false" customHeight="false" outlineLevel="0" collapsed="false">
      <c r="A190" s="11" t="n">
        <v>186</v>
      </c>
      <c r="B190" s="14" t="s">
        <v>908</v>
      </c>
      <c r="C190" s="11" t="s">
        <v>909</v>
      </c>
      <c r="D190" s="11" t="n">
        <v>0.5</v>
      </c>
      <c r="E190" s="11" t="n">
        <v>1</v>
      </c>
      <c r="F190" s="11" t="n">
        <v>1</v>
      </c>
      <c r="G190" s="13" t="n">
        <v>13222</v>
      </c>
      <c r="H190" s="11" t="n">
        <v>0</v>
      </c>
      <c r="I190" s="11" t="n">
        <v>0</v>
      </c>
      <c r="J190" s="11" t="n">
        <v>1</v>
      </c>
      <c r="K190" s="11" t="n">
        <v>0</v>
      </c>
      <c r="L190" s="11" t="n">
        <v>0</v>
      </c>
      <c r="M190" s="11" t="n">
        <v>0</v>
      </c>
      <c r="N190" s="11" t="n">
        <v>1</v>
      </c>
      <c r="O190" s="11" t="n">
        <v>0</v>
      </c>
      <c r="P190" s="11" t="n">
        <v>0</v>
      </c>
      <c r="Q190" s="11" t="n">
        <v>0</v>
      </c>
      <c r="R190" s="14" t="s">
        <v>910</v>
      </c>
      <c r="S190" s="15" t="n">
        <v>1</v>
      </c>
      <c r="T190" s="11" t="s">
        <v>772</v>
      </c>
      <c r="U190" s="14" t="s">
        <v>911</v>
      </c>
      <c r="V190" s="16" t="s">
        <v>56</v>
      </c>
      <c r="W190" s="17" t="s">
        <v>4</v>
      </c>
      <c r="X190" s="17"/>
      <c r="Y190" s="18"/>
      <c r="Z190" s="18"/>
      <c r="AA190" s="17"/>
      <c r="AB190" s="18"/>
    </row>
    <row r="191" customFormat="false" ht="35.05" hidden="false" customHeight="false" outlineLevel="0" collapsed="false">
      <c r="A191" s="11" t="n">
        <v>187</v>
      </c>
      <c r="B191" s="14" t="s">
        <v>912</v>
      </c>
      <c r="C191" s="11" t="s">
        <v>913</v>
      </c>
      <c r="D191" s="11" t="n">
        <v>0.5</v>
      </c>
      <c r="E191" s="11" t="n">
        <v>1</v>
      </c>
      <c r="F191" s="11" t="n">
        <v>1</v>
      </c>
      <c r="G191" s="13" t="n">
        <v>5400</v>
      </c>
      <c r="H191" s="11" t="n">
        <v>0</v>
      </c>
      <c r="I191" s="11" t="n">
        <v>0</v>
      </c>
      <c r="J191" s="11" t="n">
        <v>1</v>
      </c>
      <c r="K191" s="11" t="n">
        <v>0</v>
      </c>
      <c r="L191" s="11" t="n">
        <v>0</v>
      </c>
      <c r="M191" s="11" t="n">
        <v>0</v>
      </c>
      <c r="N191" s="11" t="n">
        <v>1</v>
      </c>
      <c r="O191" s="11" t="n">
        <v>0</v>
      </c>
      <c r="P191" s="11" t="n">
        <v>0</v>
      </c>
      <c r="Q191" s="11" t="n">
        <v>0</v>
      </c>
      <c r="R191" s="14" t="s">
        <v>914</v>
      </c>
      <c r="S191" s="15" t="n">
        <v>1</v>
      </c>
      <c r="T191" s="11" t="s">
        <v>915</v>
      </c>
      <c r="U191" s="14" t="s">
        <v>916</v>
      </c>
      <c r="V191" s="16" t="s">
        <v>56</v>
      </c>
      <c r="W191" s="17" t="s">
        <v>4</v>
      </c>
      <c r="X191" s="17"/>
      <c r="Y191" s="18"/>
      <c r="Z191" s="18"/>
      <c r="AA191" s="17"/>
      <c r="AB191" s="18"/>
    </row>
    <row r="192" customFormat="false" ht="23.85" hidden="false" customHeight="false" outlineLevel="0" collapsed="false">
      <c r="A192" s="11" t="n">
        <v>188</v>
      </c>
      <c r="B192" s="14" t="s">
        <v>917</v>
      </c>
      <c r="C192" s="11" t="s">
        <v>918</v>
      </c>
      <c r="D192" s="11" t="n">
        <v>0.5</v>
      </c>
      <c r="E192" s="11" t="n">
        <v>1</v>
      </c>
      <c r="F192" s="11" t="n">
        <v>1</v>
      </c>
      <c r="G192" s="13" t="n">
        <v>5000</v>
      </c>
      <c r="H192" s="11" t="n">
        <v>0</v>
      </c>
      <c r="I192" s="11" t="n">
        <v>0</v>
      </c>
      <c r="J192" s="11" t="n">
        <v>1</v>
      </c>
      <c r="K192" s="11" t="n">
        <v>0</v>
      </c>
      <c r="L192" s="11" t="n">
        <v>0</v>
      </c>
      <c r="M192" s="11" t="n">
        <v>0</v>
      </c>
      <c r="N192" s="11" t="n">
        <v>1</v>
      </c>
      <c r="O192" s="11" t="n">
        <v>0</v>
      </c>
      <c r="P192" s="11" t="n">
        <v>0</v>
      </c>
      <c r="Q192" s="11" t="n">
        <v>0</v>
      </c>
      <c r="R192" s="14" t="s">
        <v>919</v>
      </c>
      <c r="S192" s="15" t="n">
        <v>1</v>
      </c>
      <c r="T192" s="11" t="s">
        <v>920</v>
      </c>
      <c r="U192" s="14" t="s">
        <v>921</v>
      </c>
      <c r="V192" s="16" t="s">
        <v>56</v>
      </c>
      <c r="W192" s="17" t="s">
        <v>4</v>
      </c>
      <c r="X192" s="17"/>
      <c r="Y192" s="18"/>
      <c r="Z192" s="18"/>
      <c r="AA192" s="17"/>
      <c r="AB192" s="18"/>
    </row>
    <row r="193" customFormat="false" ht="35.05" hidden="false" customHeight="false" outlineLevel="0" collapsed="false">
      <c r="A193" s="11" t="n">
        <v>189</v>
      </c>
      <c r="B193" s="14" t="s">
        <v>922</v>
      </c>
      <c r="C193" s="11" t="s">
        <v>923</v>
      </c>
      <c r="D193" s="11" t="n">
        <v>0.5</v>
      </c>
      <c r="E193" s="11" t="n">
        <v>1</v>
      </c>
      <c r="F193" s="11" t="n">
        <v>1</v>
      </c>
      <c r="G193" s="13" t="n">
        <v>25947</v>
      </c>
      <c r="H193" s="11" t="n">
        <v>0</v>
      </c>
      <c r="I193" s="11" t="n">
        <v>0</v>
      </c>
      <c r="J193" s="11" t="n">
        <v>1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1</v>
      </c>
      <c r="P193" s="11" t="n">
        <v>0</v>
      </c>
      <c r="Q193" s="11" t="n">
        <v>0</v>
      </c>
      <c r="R193" s="14" t="s">
        <v>924</v>
      </c>
      <c r="S193" s="15" t="n">
        <v>1</v>
      </c>
      <c r="T193" s="11" t="s">
        <v>925</v>
      </c>
      <c r="U193" s="14" t="s">
        <v>926</v>
      </c>
      <c r="V193" s="16" t="s">
        <v>56</v>
      </c>
      <c r="W193" s="17" t="s">
        <v>4</v>
      </c>
      <c r="X193" s="17"/>
      <c r="Y193" s="18"/>
      <c r="Z193" s="18"/>
      <c r="AA193" s="17"/>
      <c r="AB193" s="18"/>
    </row>
    <row r="194" customFormat="false" ht="23.85" hidden="false" customHeight="false" outlineLevel="0" collapsed="false">
      <c r="A194" s="11" t="n">
        <v>190</v>
      </c>
      <c r="B194" s="14" t="s">
        <v>927</v>
      </c>
      <c r="C194" s="11" t="s">
        <v>928</v>
      </c>
      <c r="D194" s="11" t="n">
        <v>0.5</v>
      </c>
      <c r="E194" s="11" t="n">
        <v>1</v>
      </c>
      <c r="F194" s="11" t="n">
        <v>1</v>
      </c>
      <c r="G194" s="13" t="n">
        <v>5150</v>
      </c>
      <c r="H194" s="11" t="n">
        <v>0</v>
      </c>
      <c r="I194" s="11" t="n">
        <v>0</v>
      </c>
      <c r="J194" s="11" t="n">
        <v>1</v>
      </c>
      <c r="K194" s="11" t="n">
        <v>0</v>
      </c>
      <c r="L194" s="11" t="n">
        <v>0</v>
      </c>
      <c r="M194" s="11" t="n">
        <v>0</v>
      </c>
      <c r="N194" s="11" t="n">
        <v>1</v>
      </c>
      <c r="O194" s="11" t="n">
        <v>0</v>
      </c>
      <c r="P194" s="11" t="n">
        <v>0</v>
      </c>
      <c r="Q194" s="11" t="n">
        <v>0</v>
      </c>
      <c r="R194" s="14" t="s">
        <v>929</v>
      </c>
      <c r="S194" s="15" t="n">
        <v>1</v>
      </c>
      <c r="T194" s="11" t="s">
        <v>433</v>
      </c>
      <c r="U194" s="14" t="s">
        <v>930</v>
      </c>
      <c r="V194" s="16" t="s">
        <v>56</v>
      </c>
      <c r="W194" s="17" t="s">
        <v>4</v>
      </c>
      <c r="X194" s="17"/>
      <c r="Y194" s="18"/>
      <c r="Z194" s="18"/>
      <c r="AA194" s="17"/>
      <c r="AB194" s="18"/>
    </row>
    <row r="195" customFormat="false" ht="23.85" hidden="false" customHeight="false" outlineLevel="0" collapsed="false">
      <c r="A195" s="11" t="n">
        <v>191</v>
      </c>
      <c r="B195" s="14" t="s">
        <v>931</v>
      </c>
      <c r="C195" s="11" t="s">
        <v>932</v>
      </c>
      <c r="D195" s="11" t="n">
        <v>0.5</v>
      </c>
      <c r="E195" s="11" t="n">
        <v>1</v>
      </c>
      <c r="F195" s="11" t="n">
        <v>1</v>
      </c>
      <c r="G195" s="13" t="n">
        <v>7149</v>
      </c>
      <c r="H195" s="11" t="n">
        <v>0</v>
      </c>
      <c r="I195" s="11" t="n">
        <v>0</v>
      </c>
      <c r="J195" s="11" t="n">
        <v>1</v>
      </c>
      <c r="K195" s="11" t="n">
        <v>0</v>
      </c>
      <c r="L195" s="11" t="n">
        <v>0</v>
      </c>
      <c r="M195" s="11" t="n">
        <v>0</v>
      </c>
      <c r="N195" s="11" t="n">
        <v>1</v>
      </c>
      <c r="O195" s="11" t="n">
        <v>0</v>
      </c>
      <c r="P195" s="11" t="n">
        <v>0</v>
      </c>
      <c r="Q195" s="11" t="n">
        <v>0</v>
      </c>
      <c r="R195" s="14" t="s">
        <v>933</v>
      </c>
      <c r="S195" s="15" t="n">
        <v>1</v>
      </c>
      <c r="T195" s="11" t="s">
        <v>490</v>
      </c>
      <c r="U195" s="14" t="s">
        <v>934</v>
      </c>
      <c r="V195" s="16" t="s">
        <v>56</v>
      </c>
      <c r="W195" s="17" t="s">
        <v>4</v>
      </c>
      <c r="X195" s="17"/>
      <c r="Y195" s="18"/>
      <c r="Z195" s="18"/>
      <c r="AA195" s="17"/>
      <c r="AB195" s="18"/>
    </row>
    <row r="196" customFormat="false" ht="15" hidden="false" customHeight="false" outlineLevel="0" collapsed="false">
      <c r="A196" s="11" t="n">
        <v>192</v>
      </c>
      <c r="B196" s="14" t="s">
        <v>935</v>
      </c>
      <c r="C196" s="11" t="s">
        <v>936</v>
      </c>
      <c r="D196" s="11" t="n">
        <v>0.5</v>
      </c>
      <c r="E196" s="11" t="n">
        <v>1</v>
      </c>
      <c r="F196" s="11" t="n">
        <v>1</v>
      </c>
      <c r="G196" s="13" t="n">
        <v>4423</v>
      </c>
      <c r="H196" s="11" t="n">
        <v>0</v>
      </c>
      <c r="I196" s="11" t="n">
        <v>0</v>
      </c>
      <c r="J196" s="11" t="n">
        <v>1</v>
      </c>
      <c r="K196" s="11" t="n">
        <v>0</v>
      </c>
      <c r="L196" s="11" t="n">
        <v>0</v>
      </c>
      <c r="M196" s="11" t="n">
        <v>0</v>
      </c>
      <c r="N196" s="11" t="n">
        <v>1</v>
      </c>
      <c r="O196" s="11" t="n">
        <v>0</v>
      </c>
      <c r="P196" s="11" t="n">
        <v>0</v>
      </c>
      <c r="Q196" s="11" t="n">
        <v>0</v>
      </c>
      <c r="R196" s="14" t="s">
        <v>937</v>
      </c>
      <c r="S196" s="15" t="n">
        <v>1</v>
      </c>
      <c r="T196" s="11" t="s">
        <v>596</v>
      </c>
      <c r="U196" s="14" t="s">
        <v>938</v>
      </c>
      <c r="V196" s="16" t="s">
        <v>56</v>
      </c>
      <c r="W196" s="17" t="s">
        <v>4</v>
      </c>
      <c r="X196" s="17"/>
      <c r="Y196" s="18"/>
      <c r="Z196" s="18"/>
      <c r="AA196" s="17"/>
      <c r="AB196" s="18"/>
    </row>
    <row r="197" customFormat="false" ht="23.85" hidden="false" customHeight="false" outlineLevel="0" collapsed="false">
      <c r="A197" s="11" t="n">
        <v>193</v>
      </c>
      <c r="B197" s="14" t="s">
        <v>939</v>
      </c>
      <c r="C197" s="11" t="s">
        <v>940</v>
      </c>
      <c r="D197" s="11" t="n">
        <v>0.5</v>
      </c>
      <c r="E197" s="11" t="n">
        <v>1</v>
      </c>
      <c r="F197" s="11" t="n">
        <v>1</v>
      </c>
      <c r="G197" s="13" t="n">
        <v>3250</v>
      </c>
      <c r="H197" s="11" t="n">
        <v>0</v>
      </c>
      <c r="I197" s="11" t="n">
        <v>0</v>
      </c>
      <c r="J197" s="11" t="n">
        <v>1</v>
      </c>
      <c r="K197" s="11" t="n">
        <v>0</v>
      </c>
      <c r="L197" s="11" t="n">
        <v>0</v>
      </c>
      <c r="M197" s="11" t="n">
        <v>0</v>
      </c>
      <c r="N197" s="11" t="n">
        <v>1</v>
      </c>
      <c r="O197" s="11" t="n">
        <v>0</v>
      </c>
      <c r="P197" s="11" t="n">
        <v>0</v>
      </c>
      <c r="Q197" s="11" t="n">
        <v>0</v>
      </c>
      <c r="R197" s="14" t="s">
        <v>941</v>
      </c>
      <c r="S197" s="15" t="n">
        <v>1</v>
      </c>
      <c r="T197" s="11" t="s">
        <v>942</v>
      </c>
      <c r="U197" s="14" t="s">
        <v>943</v>
      </c>
      <c r="V197" s="16" t="s">
        <v>56</v>
      </c>
      <c r="W197" s="17" t="s">
        <v>4</v>
      </c>
      <c r="X197" s="17"/>
      <c r="Y197" s="18"/>
      <c r="Z197" s="18"/>
      <c r="AA197" s="17"/>
      <c r="AB197" s="18"/>
    </row>
    <row r="198" customFormat="false" ht="35.05" hidden="false" customHeight="false" outlineLevel="0" collapsed="false">
      <c r="A198" s="11" t="n">
        <v>194</v>
      </c>
      <c r="B198" s="14" t="s">
        <v>944</v>
      </c>
      <c r="C198" s="11" t="s">
        <v>945</v>
      </c>
      <c r="D198" s="11" t="n">
        <v>0.4</v>
      </c>
      <c r="E198" s="11" t="n">
        <v>1</v>
      </c>
      <c r="F198" s="11" t="n">
        <v>1</v>
      </c>
      <c r="G198" s="13" t="n">
        <v>47000</v>
      </c>
      <c r="H198" s="11" t="n">
        <v>0</v>
      </c>
      <c r="I198" s="11" t="n">
        <v>1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1</v>
      </c>
      <c r="P198" s="11" t="n">
        <v>0</v>
      </c>
      <c r="Q198" s="11" t="n">
        <v>0</v>
      </c>
      <c r="R198" s="14" t="s">
        <v>813</v>
      </c>
      <c r="S198" s="15" t="n">
        <v>1</v>
      </c>
      <c r="T198" s="11" t="s">
        <v>635</v>
      </c>
      <c r="U198" s="14" t="s">
        <v>946</v>
      </c>
      <c r="V198" s="16" t="s">
        <v>56</v>
      </c>
      <c r="W198" s="17" t="s">
        <v>4</v>
      </c>
      <c r="X198" s="17"/>
      <c r="Y198" s="18"/>
      <c r="Z198" s="18"/>
      <c r="AA198" s="17"/>
      <c r="AB198" s="18"/>
    </row>
    <row r="199" customFormat="false" ht="35.05" hidden="false" customHeight="false" outlineLevel="0" collapsed="false">
      <c r="A199" s="11" t="n">
        <v>195</v>
      </c>
      <c r="B199" s="14" t="s">
        <v>947</v>
      </c>
      <c r="C199" s="11" t="s">
        <v>948</v>
      </c>
      <c r="D199" s="11" t="n">
        <v>0.4</v>
      </c>
      <c r="E199" s="11" t="n">
        <v>1</v>
      </c>
      <c r="F199" s="11" t="n">
        <v>1</v>
      </c>
      <c r="G199" s="13" t="n">
        <v>36000</v>
      </c>
      <c r="H199" s="11" t="n">
        <v>0</v>
      </c>
      <c r="I199" s="11" t="n">
        <v>1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1</v>
      </c>
      <c r="P199" s="11" t="n">
        <v>0</v>
      </c>
      <c r="Q199" s="11" t="n">
        <v>0</v>
      </c>
      <c r="R199" s="14" t="s">
        <v>949</v>
      </c>
      <c r="S199" s="15" t="n">
        <v>1</v>
      </c>
      <c r="T199" s="11" t="s">
        <v>950</v>
      </c>
      <c r="U199" s="14" t="s">
        <v>951</v>
      </c>
      <c r="V199" s="16" t="s">
        <v>56</v>
      </c>
      <c r="W199" s="17" t="s">
        <v>4</v>
      </c>
      <c r="X199" s="17"/>
      <c r="Y199" s="18"/>
      <c r="Z199" s="18"/>
      <c r="AA199" s="17"/>
      <c r="AB199" s="18"/>
    </row>
    <row r="200" customFormat="false" ht="23.85" hidden="false" customHeight="false" outlineLevel="0" collapsed="false">
      <c r="A200" s="11" t="n">
        <v>196</v>
      </c>
      <c r="B200" s="14" t="s">
        <v>952</v>
      </c>
      <c r="C200" s="11" t="s">
        <v>953</v>
      </c>
      <c r="D200" s="11" t="n">
        <v>0.4</v>
      </c>
      <c r="E200" s="11" t="n">
        <v>1</v>
      </c>
      <c r="F200" s="11" t="n">
        <v>1</v>
      </c>
      <c r="G200" s="13" t="n">
        <v>72000</v>
      </c>
      <c r="H200" s="11" t="n">
        <v>0</v>
      </c>
      <c r="I200" s="11" t="n">
        <v>1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1</v>
      </c>
      <c r="P200" s="11" t="n">
        <v>0</v>
      </c>
      <c r="Q200" s="11" t="n">
        <v>0</v>
      </c>
      <c r="R200" s="14" t="s">
        <v>813</v>
      </c>
      <c r="S200" s="15" t="n">
        <v>1</v>
      </c>
      <c r="T200" s="11" t="s">
        <v>950</v>
      </c>
      <c r="U200" s="14" t="s">
        <v>954</v>
      </c>
      <c r="V200" s="16" t="s">
        <v>56</v>
      </c>
      <c r="W200" s="17" t="s">
        <v>4</v>
      </c>
      <c r="X200" s="17"/>
      <c r="Y200" s="18"/>
      <c r="Z200" s="18"/>
      <c r="AA200" s="17"/>
      <c r="AB200" s="18"/>
    </row>
    <row r="201" customFormat="false" ht="35.05" hidden="false" customHeight="false" outlineLevel="0" collapsed="false">
      <c r="A201" s="11" t="n">
        <v>197</v>
      </c>
      <c r="B201" s="14" t="s">
        <v>955</v>
      </c>
      <c r="C201" s="11" t="s">
        <v>956</v>
      </c>
      <c r="D201" s="11" t="n">
        <v>0.4</v>
      </c>
      <c r="E201" s="11" t="n">
        <v>1</v>
      </c>
      <c r="F201" s="11" t="n">
        <v>1</v>
      </c>
      <c r="G201" s="13" t="n">
        <v>79542</v>
      </c>
      <c r="H201" s="11" t="n">
        <v>0</v>
      </c>
      <c r="I201" s="11" t="n">
        <v>1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1</v>
      </c>
      <c r="Q201" s="11" t="n">
        <v>0</v>
      </c>
      <c r="R201" s="14" t="s">
        <v>957</v>
      </c>
      <c r="S201" s="15" t="n">
        <v>1</v>
      </c>
      <c r="T201" s="11" t="s">
        <v>958</v>
      </c>
      <c r="U201" s="14" t="s">
        <v>959</v>
      </c>
      <c r="V201" s="16" t="s">
        <v>56</v>
      </c>
      <c r="W201" s="17" t="s">
        <v>4</v>
      </c>
      <c r="X201" s="17"/>
      <c r="Y201" s="18"/>
      <c r="Z201" s="18"/>
      <c r="AA201" s="17"/>
      <c r="AB201" s="18"/>
    </row>
    <row r="202" customFormat="false" ht="35.05" hidden="false" customHeight="false" outlineLevel="0" collapsed="false">
      <c r="A202" s="11" t="n">
        <v>198</v>
      </c>
      <c r="B202" s="14" t="s">
        <v>960</v>
      </c>
      <c r="C202" s="11" t="s">
        <v>961</v>
      </c>
      <c r="D202" s="11" t="n">
        <v>0.4</v>
      </c>
      <c r="E202" s="11" t="n">
        <v>1</v>
      </c>
      <c r="F202" s="11" t="n">
        <v>1</v>
      </c>
      <c r="G202" s="13" t="n">
        <v>6490</v>
      </c>
      <c r="H202" s="11" t="n">
        <v>0</v>
      </c>
      <c r="I202" s="11" t="n">
        <v>1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1</v>
      </c>
      <c r="O202" s="11" t="n">
        <v>0</v>
      </c>
      <c r="P202" s="11" t="n">
        <v>0</v>
      </c>
      <c r="Q202" s="11" t="n">
        <v>0</v>
      </c>
      <c r="R202" s="14" t="s">
        <v>962</v>
      </c>
      <c r="S202" s="15" t="n">
        <v>1</v>
      </c>
      <c r="T202" s="11" t="s">
        <v>963</v>
      </c>
      <c r="U202" s="14" t="s">
        <v>964</v>
      </c>
      <c r="V202" s="16" t="s">
        <v>56</v>
      </c>
      <c r="W202" s="17" t="s">
        <v>4</v>
      </c>
      <c r="X202" s="17"/>
      <c r="Y202" s="18"/>
      <c r="Z202" s="18"/>
      <c r="AA202" s="17"/>
      <c r="AB202" s="18"/>
    </row>
    <row r="203" customFormat="false" ht="35.05" hidden="false" customHeight="false" outlineLevel="0" collapsed="false">
      <c r="A203" s="11" t="n">
        <v>199</v>
      </c>
      <c r="B203" s="14" t="s">
        <v>965</v>
      </c>
      <c r="C203" s="11" t="s">
        <v>966</v>
      </c>
      <c r="D203" s="11" t="n">
        <v>0.4</v>
      </c>
      <c r="E203" s="11" t="n">
        <v>1</v>
      </c>
      <c r="F203" s="11" t="n">
        <v>1</v>
      </c>
      <c r="G203" s="13" t="n">
        <v>7000</v>
      </c>
      <c r="H203" s="11" t="n">
        <v>0</v>
      </c>
      <c r="I203" s="11" t="n">
        <v>1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1</v>
      </c>
      <c r="O203" s="11" t="n">
        <v>0</v>
      </c>
      <c r="P203" s="11" t="n">
        <v>0</v>
      </c>
      <c r="Q203" s="11" t="n">
        <v>0</v>
      </c>
      <c r="R203" s="14" t="s">
        <v>967</v>
      </c>
      <c r="S203" s="15" t="n">
        <v>1</v>
      </c>
      <c r="T203" s="11" t="s">
        <v>968</v>
      </c>
      <c r="U203" s="14" t="s">
        <v>969</v>
      </c>
      <c r="V203" s="16" t="s">
        <v>56</v>
      </c>
      <c r="W203" s="17" t="s">
        <v>4</v>
      </c>
      <c r="X203" s="17"/>
      <c r="Y203" s="18"/>
      <c r="Z203" s="18"/>
      <c r="AA203" s="17"/>
      <c r="AB203" s="18"/>
    </row>
    <row r="204" customFormat="false" ht="35.05" hidden="false" customHeight="false" outlineLevel="0" collapsed="false">
      <c r="A204" s="11" t="n">
        <v>200</v>
      </c>
      <c r="B204" s="14" t="s">
        <v>970</v>
      </c>
      <c r="C204" s="11" t="s">
        <v>971</v>
      </c>
      <c r="D204" s="11" t="n">
        <v>0.4</v>
      </c>
      <c r="E204" s="11" t="n">
        <v>1</v>
      </c>
      <c r="F204" s="11" t="n">
        <v>1</v>
      </c>
      <c r="G204" s="13" t="n">
        <v>19650</v>
      </c>
      <c r="H204" s="11" t="n">
        <v>0</v>
      </c>
      <c r="I204" s="11" t="n">
        <v>1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1</v>
      </c>
      <c r="O204" s="11" t="n">
        <v>0</v>
      </c>
      <c r="P204" s="11" t="n">
        <v>0</v>
      </c>
      <c r="Q204" s="11" t="n">
        <v>0</v>
      </c>
      <c r="R204" s="14" t="s">
        <v>972</v>
      </c>
      <c r="S204" s="15" t="n">
        <v>1</v>
      </c>
      <c r="T204" s="11" t="s">
        <v>973</v>
      </c>
      <c r="U204" s="14" t="s">
        <v>974</v>
      </c>
      <c r="V204" s="16" t="s">
        <v>56</v>
      </c>
      <c r="W204" s="17" t="s">
        <v>4</v>
      </c>
      <c r="X204" s="17"/>
      <c r="Y204" s="18"/>
      <c r="Z204" s="18"/>
      <c r="AA204" s="17"/>
      <c r="AB204" s="18"/>
    </row>
    <row r="205" customFormat="false" ht="23.85" hidden="false" customHeight="false" outlineLevel="0" collapsed="false">
      <c r="A205" s="11" t="n">
        <v>201</v>
      </c>
      <c r="B205" s="14" t="s">
        <v>975</v>
      </c>
      <c r="C205" s="11" t="s">
        <v>976</v>
      </c>
      <c r="D205" s="11" t="n">
        <v>0.4</v>
      </c>
      <c r="E205" s="11" t="n">
        <v>1</v>
      </c>
      <c r="F205" s="11" t="n">
        <v>1</v>
      </c>
      <c r="G205" s="13" t="n">
        <v>19250</v>
      </c>
      <c r="H205" s="11" t="n">
        <v>0</v>
      </c>
      <c r="I205" s="11" t="n">
        <v>1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1</v>
      </c>
      <c r="O205" s="11" t="n">
        <v>0</v>
      </c>
      <c r="P205" s="11" t="n">
        <v>0</v>
      </c>
      <c r="Q205" s="11" t="n">
        <v>0</v>
      </c>
      <c r="R205" s="14" t="s">
        <v>766</v>
      </c>
      <c r="S205" s="15" t="n">
        <v>1</v>
      </c>
      <c r="T205" s="11" t="s">
        <v>977</v>
      </c>
      <c r="U205" s="14" t="s">
        <v>978</v>
      </c>
      <c r="V205" s="16" t="s">
        <v>56</v>
      </c>
      <c r="W205" s="17" t="s">
        <v>4</v>
      </c>
      <c r="X205" s="17"/>
      <c r="Y205" s="18"/>
      <c r="Z205" s="18"/>
      <c r="AA205" s="17"/>
      <c r="AB205" s="18"/>
    </row>
    <row r="206" customFormat="false" ht="23.85" hidden="false" customHeight="false" outlineLevel="0" collapsed="false">
      <c r="A206" s="11" t="n">
        <v>202</v>
      </c>
      <c r="B206" s="14" t="s">
        <v>979</v>
      </c>
      <c r="C206" s="11" t="s">
        <v>980</v>
      </c>
      <c r="D206" s="11" t="n">
        <v>0.4</v>
      </c>
      <c r="E206" s="11" t="n">
        <v>1</v>
      </c>
      <c r="F206" s="11" t="n">
        <v>1</v>
      </c>
      <c r="G206" s="13" t="n">
        <v>18974</v>
      </c>
      <c r="H206" s="11" t="n">
        <v>0</v>
      </c>
      <c r="I206" s="11" t="n">
        <v>1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1</v>
      </c>
      <c r="O206" s="11" t="n">
        <v>0</v>
      </c>
      <c r="P206" s="11" t="n">
        <v>0</v>
      </c>
      <c r="Q206" s="11" t="n">
        <v>0</v>
      </c>
      <c r="R206" s="14" t="s">
        <v>981</v>
      </c>
      <c r="S206" s="15" t="n">
        <v>1</v>
      </c>
      <c r="T206" s="11" t="s">
        <v>982</v>
      </c>
      <c r="U206" s="14" t="s">
        <v>983</v>
      </c>
      <c r="V206" s="16" t="s">
        <v>56</v>
      </c>
      <c r="W206" s="17" t="s">
        <v>4</v>
      </c>
      <c r="X206" s="17"/>
      <c r="Y206" s="18"/>
      <c r="Z206" s="18"/>
      <c r="AA206" s="17"/>
      <c r="AB206" s="18"/>
    </row>
    <row r="207" customFormat="false" ht="23.85" hidden="false" customHeight="false" outlineLevel="0" collapsed="false">
      <c r="A207" s="11" t="n">
        <v>203</v>
      </c>
      <c r="B207" s="14" t="s">
        <v>984</v>
      </c>
      <c r="C207" s="11" t="s">
        <v>985</v>
      </c>
      <c r="D207" s="11" t="n">
        <v>0.4</v>
      </c>
      <c r="E207" s="11" t="n">
        <v>1</v>
      </c>
      <c r="F207" s="11" t="n">
        <v>1</v>
      </c>
      <c r="G207" s="13" t="n">
        <v>35000</v>
      </c>
      <c r="H207" s="11" t="n">
        <v>0</v>
      </c>
      <c r="I207" s="11" t="n">
        <v>1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1</v>
      </c>
      <c r="P207" s="11" t="n">
        <v>0</v>
      </c>
      <c r="Q207" s="11" t="n">
        <v>0</v>
      </c>
      <c r="R207" s="14" t="s">
        <v>986</v>
      </c>
      <c r="S207" s="15" t="n">
        <v>1</v>
      </c>
      <c r="T207" s="11" t="s">
        <v>987</v>
      </c>
      <c r="U207" s="14" t="s">
        <v>988</v>
      </c>
      <c r="V207" s="16" t="s">
        <v>56</v>
      </c>
      <c r="W207" s="17" t="s">
        <v>4</v>
      </c>
      <c r="X207" s="17"/>
      <c r="Y207" s="18"/>
      <c r="Z207" s="18"/>
      <c r="AA207" s="17"/>
      <c r="AB207" s="18"/>
    </row>
    <row r="208" customFormat="false" ht="35.05" hidden="false" customHeight="false" outlineLevel="0" collapsed="false">
      <c r="A208" s="11" t="n">
        <v>204</v>
      </c>
      <c r="B208" s="14" t="s">
        <v>989</v>
      </c>
      <c r="C208" s="11" t="s">
        <v>990</v>
      </c>
      <c r="D208" s="11" t="n">
        <v>0.4</v>
      </c>
      <c r="E208" s="11" t="n">
        <v>1</v>
      </c>
      <c r="F208" s="11" t="n">
        <v>1</v>
      </c>
      <c r="G208" s="13" t="n">
        <v>12400</v>
      </c>
      <c r="H208" s="11" t="n">
        <v>0</v>
      </c>
      <c r="I208" s="11" t="n">
        <v>1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1</v>
      </c>
      <c r="O208" s="11" t="n">
        <v>0</v>
      </c>
      <c r="P208" s="11" t="n">
        <v>0</v>
      </c>
      <c r="Q208" s="11" t="n">
        <v>0</v>
      </c>
      <c r="R208" s="14" t="s">
        <v>991</v>
      </c>
      <c r="S208" s="15" t="n">
        <v>1</v>
      </c>
      <c r="T208" s="11" t="s">
        <v>992</v>
      </c>
      <c r="U208" s="14" t="s">
        <v>993</v>
      </c>
      <c r="V208" s="16" t="s">
        <v>56</v>
      </c>
      <c r="W208" s="17" t="s">
        <v>4</v>
      </c>
      <c r="X208" s="17"/>
      <c r="Y208" s="18"/>
      <c r="Z208" s="18"/>
      <c r="AA208" s="17"/>
      <c r="AB208" s="18"/>
    </row>
    <row r="209" customFormat="false" ht="35.05" hidden="false" customHeight="false" outlineLevel="0" collapsed="false">
      <c r="A209" s="11" t="n">
        <v>205</v>
      </c>
      <c r="B209" s="14" t="s">
        <v>994</v>
      </c>
      <c r="C209" s="11" t="s">
        <v>995</v>
      </c>
      <c r="D209" s="11" t="n">
        <v>0.4</v>
      </c>
      <c r="E209" s="11" t="n">
        <v>1</v>
      </c>
      <c r="F209" s="11" t="n">
        <v>1</v>
      </c>
      <c r="G209" s="13" t="n">
        <v>17500</v>
      </c>
      <c r="H209" s="11" t="n">
        <v>0</v>
      </c>
      <c r="I209" s="11" t="n">
        <v>1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1</v>
      </c>
      <c r="O209" s="11" t="n">
        <v>0</v>
      </c>
      <c r="P209" s="11" t="n">
        <v>0</v>
      </c>
      <c r="Q209" s="11" t="n">
        <v>0</v>
      </c>
      <c r="R209" s="14" t="s">
        <v>996</v>
      </c>
      <c r="S209" s="15" t="n">
        <v>1</v>
      </c>
      <c r="T209" s="11" t="s">
        <v>717</v>
      </c>
      <c r="U209" s="14" t="s">
        <v>997</v>
      </c>
      <c r="V209" s="16" t="s">
        <v>56</v>
      </c>
      <c r="W209" s="17" t="s">
        <v>4</v>
      </c>
      <c r="X209" s="17"/>
      <c r="Y209" s="18"/>
      <c r="Z209" s="18"/>
      <c r="AA209" s="17"/>
      <c r="AB209" s="18"/>
    </row>
    <row r="210" customFormat="false" ht="35.05" hidden="false" customHeight="false" outlineLevel="0" collapsed="false">
      <c r="A210" s="11" t="n">
        <v>206</v>
      </c>
      <c r="B210" s="14" t="s">
        <v>998</v>
      </c>
      <c r="C210" s="11" t="s">
        <v>999</v>
      </c>
      <c r="D210" s="11" t="n">
        <v>0.4</v>
      </c>
      <c r="E210" s="11" t="n">
        <v>1</v>
      </c>
      <c r="F210" s="11" t="n">
        <v>1</v>
      </c>
      <c r="G210" s="13" t="n">
        <v>1500</v>
      </c>
      <c r="H210" s="11" t="n">
        <v>0</v>
      </c>
      <c r="I210" s="11" t="n">
        <v>1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1</v>
      </c>
      <c r="O210" s="11" t="n">
        <v>0</v>
      </c>
      <c r="P210" s="11" t="n">
        <v>0</v>
      </c>
      <c r="Q210" s="11" t="n">
        <v>0</v>
      </c>
      <c r="R210" s="14" t="s">
        <v>1000</v>
      </c>
      <c r="S210" s="15" t="n">
        <v>1</v>
      </c>
      <c r="T210" s="11" t="s">
        <v>1001</v>
      </c>
      <c r="U210" s="14" t="s">
        <v>1002</v>
      </c>
      <c r="V210" s="16" t="s">
        <v>56</v>
      </c>
      <c r="W210" s="17" t="s">
        <v>4</v>
      </c>
      <c r="X210" s="17"/>
      <c r="Y210" s="18"/>
      <c r="Z210" s="18"/>
      <c r="AA210" s="17"/>
      <c r="AB210" s="18"/>
    </row>
    <row r="211" customFormat="false" ht="35.05" hidden="false" customHeight="false" outlineLevel="0" collapsed="false">
      <c r="A211" s="11" t="n">
        <v>207</v>
      </c>
      <c r="B211" s="14" t="s">
        <v>1003</v>
      </c>
      <c r="C211" s="11" t="s">
        <v>1004</v>
      </c>
      <c r="D211" s="11" t="n">
        <v>0.4</v>
      </c>
      <c r="E211" s="11" t="n">
        <v>4</v>
      </c>
      <c r="F211" s="11" t="n">
        <v>1</v>
      </c>
      <c r="G211" s="13" t="n">
        <v>51850</v>
      </c>
      <c r="H211" s="11" t="n">
        <v>1</v>
      </c>
      <c r="I211" s="11" t="n">
        <v>3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3</v>
      </c>
      <c r="O211" s="11" t="n">
        <v>1</v>
      </c>
      <c r="P211" s="11" t="n">
        <v>0</v>
      </c>
      <c r="Q211" s="11" t="n">
        <v>0</v>
      </c>
      <c r="R211" s="14" t="s">
        <v>1005</v>
      </c>
      <c r="S211" s="15" t="n">
        <v>0.75</v>
      </c>
      <c r="T211" s="11" t="s">
        <v>1006</v>
      </c>
      <c r="U211" s="14" t="s">
        <v>1007</v>
      </c>
      <c r="V211" s="16" t="s">
        <v>56</v>
      </c>
      <c r="W211" s="17" t="s">
        <v>4</v>
      </c>
      <c r="X211" s="17"/>
      <c r="Y211" s="18"/>
      <c r="Z211" s="18"/>
      <c r="AA211" s="17"/>
      <c r="AB211" s="18"/>
    </row>
    <row r="212" customFormat="false" ht="23.85" hidden="false" customHeight="false" outlineLevel="0" collapsed="false">
      <c r="A212" s="11" t="n">
        <v>208</v>
      </c>
      <c r="B212" s="14" t="s">
        <v>1008</v>
      </c>
      <c r="C212" s="11" t="s">
        <v>1009</v>
      </c>
      <c r="D212" s="11" t="n">
        <v>0.4</v>
      </c>
      <c r="E212" s="11" t="n">
        <v>1</v>
      </c>
      <c r="F212" s="11" t="n">
        <v>1</v>
      </c>
      <c r="G212" s="13" t="n">
        <v>5900</v>
      </c>
      <c r="H212" s="11" t="n">
        <v>0</v>
      </c>
      <c r="I212" s="11" t="n">
        <v>1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1</v>
      </c>
      <c r="O212" s="11" t="n">
        <v>0</v>
      </c>
      <c r="P212" s="11" t="n">
        <v>0</v>
      </c>
      <c r="Q212" s="11" t="n">
        <v>0</v>
      </c>
      <c r="R212" s="14" t="s">
        <v>1010</v>
      </c>
      <c r="S212" s="15" t="n">
        <v>1</v>
      </c>
      <c r="T212" s="11" t="s">
        <v>400</v>
      </c>
      <c r="U212" s="14" t="s">
        <v>1011</v>
      </c>
      <c r="V212" s="16" t="s">
        <v>56</v>
      </c>
      <c r="W212" s="17" t="s">
        <v>4</v>
      </c>
      <c r="X212" s="17"/>
      <c r="Y212" s="18"/>
      <c r="Z212" s="18"/>
      <c r="AA212" s="17"/>
      <c r="AB212" s="18"/>
    </row>
    <row r="213" customFormat="false" ht="35.05" hidden="false" customHeight="false" outlineLevel="0" collapsed="false">
      <c r="A213" s="11" t="n">
        <v>209</v>
      </c>
      <c r="B213" s="14" t="s">
        <v>1012</v>
      </c>
      <c r="C213" s="11" t="s">
        <v>1013</v>
      </c>
      <c r="D213" s="11" t="n">
        <v>0.4</v>
      </c>
      <c r="E213" s="11" t="n">
        <v>1</v>
      </c>
      <c r="F213" s="11" t="n">
        <v>1</v>
      </c>
      <c r="G213" s="13" t="n">
        <v>19950</v>
      </c>
      <c r="H213" s="11" t="n">
        <v>0</v>
      </c>
      <c r="I213" s="11" t="n">
        <v>1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1</v>
      </c>
      <c r="O213" s="11" t="n">
        <v>0</v>
      </c>
      <c r="P213" s="11" t="n">
        <v>0</v>
      </c>
      <c r="Q213" s="11" t="n">
        <v>0</v>
      </c>
      <c r="R213" s="14" t="s">
        <v>1014</v>
      </c>
      <c r="S213" s="15" t="n">
        <v>1</v>
      </c>
      <c r="T213" s="11" t="s">
        <v>1015</v>
      </c>
      <c r="U213" s="14" t="s">
        <v>1016</v>
      </c>
      <c r="V213" s="16" t="s">
        <v>56</v>
      </c>
      <c r="W213" s="17" t="s">
        <v>4</v>
      </c>
      <c r="X213" s="17"/>
      <c r="Y213" s="18"/>
      <c r="Z213" s="18"/>
      <c r="AA213" s="17"/>
      <c r="AB213" s="18"/>
    </row>
    <row r="214" customFormat="false" ht="35.05" hidden="false" customHeight="false" outlineLevel="0" collapsed="false">
      <c r="A214" s="11" t="n">
        <v>210</v>
      </c>
      <c r="B214" s="14" t="s">
        <v>1017</v>
      </c>
      <c r="C214" s="11" t="s">
        <v>1018</v>
      </c>
      <c r="D214" s="11" t="n">
        <v>0.4</v>
      </c>
      <c r="E214" s="11" t="n">
        <v>1</v>
      </c>
      <c r="F214" s="11" t="n">
        <v>1</v>
      </c>
      <c r="G214" s="13" t="n">
        <v>22500</v>
      </c>
      <c r="H214" s="11" t="n">
        <v>0</v>
      </c>
      <c r="I214" s="11" t="n">
        <v>1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1</v>
      </c>
      <c r="P214" s="11" t="n">
        <v>0</v>
      </c>
      <c r="Q214" s="11" t="n">
        <v>0</v>
      </c>
      <c r="R214" s="14" t="s">
        <v>1019</v>
      </c>
      <c r="S214" s="15" t="n">
        <v>1</v>
      </c>
      <c r="T214" s="11" t="s">
        <v>1015</v>
      </c>
      <c r="U214" s="14" t="s">
        <v>1020</v>
      </c>
      <c r="V214" s="16" t="s">
        <v>56</v>
      </c>
      <c r="W214" s="17" t="s">
        <v>4</v>
      </c>
      <c r="X214" s="17"/>
      <c r="Y214" s="18"/>
      <c r="Z214" s="18"/>
      <c r="AA214" s="17"/>
      <c r="AB214" s="18"/>
    </row>
    <row r="215" customFormat="false" ht="35.05" hidden="false" customHeight="false" outlineLevel="0" collapsed="false">
      <c r="A215" s="11" t="n">
        <v>211</v>
      </c>
      <c r="B215" s="14" t="s">
        <v>1021</v>
      </c>
      <c r="C215" s="11" t="s">
        <v>1022</v>
      </c>
      <c r="D215" s="11" t="n">
        <v>0.4</v>
      </c>
      <c r="E215" s="11" t="n">
        <v>1</v>
      </c>
      <c r="F215" s="11" t="n">
        <v>1</v>
      </c>
      <c r="G215" s="13" t="n">
        <v>16700</v>
      </c>
      <c r="H215" s="11" t="n">
        <v>0</v>
      </c>
      <c r="I215" s="11" t="n">
        <v>1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1</v>
      </c>
      <c r="O215" s="11" t="n">
        <v>0</v>
      </c>
      <c r="P215" s="11" t="n">
        <v>0</v>
      </c>
      <c r="Q215" s="11" t="n">
        <v>0</v>
      </c>
      <c r="R215" s="14" t="s">
        <v>1023</v>
      </c>
      <c r="S215" s="15" t="n">
        <v>1</v>
      </c>
      <c r="T215" s="11" t="s">
        <v>1015</v>
      </c>
      <c r="U215" s="14" t="s">
        <v>1024</v>
      </c>
      <c r="V215" s="16" t="s">
        <v>56</v>
      </c>
      <c r="W215" s="17" t="s">
        <v>4</v>
      </c>
      <c r="X215" s="17"/>
      <c r="Y215" s="18"/>
      <c r="Z215" s="18"/>
      <c r="AA215" s="17"/>
      <c r="AB215" s="18"/>
    </row>
    <row r="216" customFormat="false" ht="35.05" hidden="false" customHeight="false" outlineLevel="0" collapsed="false">
      <c r="A216" s="11" t="n">
        <v>212</v>
      </c>
      <c r="B216" s="14" t="s">
        <v>1025</v>
      </c>
      <c r="C216" s="11" t="s">
        <v>1026</v>
      </c>
      <c r="D216" s="11" t="n">
        <v>0.4</v>
      </c>
      <c r="E216" s="11" t="n">
        <v>1</v>
      </c>
      <c r="F216" s="11" t="n">
        <v>1</v>
      </c>
      <c r="G216" s="13" t="n">
        <v>0</v>
      </c>
      <c r="H216" s="11" t="n">
        <v>0</v>
      </c>
      <c r="I216" s="11" t="n">
        <v>1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1</v>
      </c>
      <c r="O216" s="11" t="n">
        <v>0</v>
      </c>
      <c r="P216" s="11" t="n">
        <v>0</v>
      </c>
      <c r="Q216" s="11" t="n">
        <v>0</v>
      </c>
      <c r="R216" s="14" t="s">
        <v>1027</v>
      </c>
      <c r="S216" s="15" t="n">
        <v>1</v>
      </c>
      <c r="T216" s="11" t="s">
        <v>1028</v>
      </c>
      <c r="U216" s="14" t="s">
        <v>1029</v>
      </c>
      <c r="V216" s="16" t="s">
        <v>56</v>
      </c>
      <c r="W216" s="17" t="s">
        <v>4</v>
      </c>
      <c r="X216" s="17"/>
      <c r="Y216" s="18"/>
      <c r="Z216" s="18"/>
      <c r="AA216" s="17"/>
      <c r="AB216" s="18"/>
    </row>
    <row r="217" customFormat="false" ht="35.05" hidden="false" customHeight="false" outlineLevel="0" collapsed="false">
      <c r="A217" s="11" t="n">
        <v>213</v>
      </c>
      <c r="B217" s="14" t="s">
        <v>1030</v>
      </c>
      <c r="C217" s="11" t="s">
        <v>1031</v>
      </c>
      <c r="D217" s="11" t="n">
        <v>0.3</v>
      </c>
      <c r="E217" s="11" t="n">
        <v>1</v>
      </c>
      <c r="F217" s="11" t="n">
        <v>1</v>
      </c>
      <c r="G217" s="13" t="n">
        <v>2000</v>
      </c>
      <c r="H217" s="11" t="n">
        <v>0</v>
      </c>
      <c r="I217" s="11" t="n">
        <v>0</v>
      </c>
      <c r="J217" s="11" t="n">
        <v>1</v>
      </c>
      <c r="K217" s="11" t="n">
        <v>0</v>
      </c>
      <c r="L217" s="11" t="n">
        <v>0</v>
      </c>
      <c r="M217" s="11" t="n">
        <v>0</v>
      </c>
      <c r="N217" s="11" t="n">
        <v>1</v>
      </c>
      <c r="O217" s="11" t="n">
        <v>0</v>
      </c>
      <c r="P217" s="11" t="n">
        <v>0</v>
      </c>
      <c r="Q217" s="11" t="n">
        <v>0</v>
      </c>
      <c r="R217" s="14" t="s">
        <v>1032</v>
      </c>
      <c r="S217" s="15" t="n">
        <v>1</v>
      </c>
      <c r="T217" s="11" t="s">
        <v>635</v>
      </c>
      <c r="U217" s="14" t="s">
        <v>1033</v>
      </c>
      <c r="V217" s="16" t="s">
        <v>56</v>
      </c>
      <c r="W217" s="17" t="s">
        <v>4</v>
      </c>
      <c r="X217" s="17"/>
      <c r="Y217" s="18"/>
      <c r="Z217" s="18"/>
      <c r="AA217" s="17"/>
      <c r="AB217" s="18"/>
    </row>
    <row r="218" customFormat="false" ht="23.85" hidden="false" customHeight="false" outlineLevel="0" collapsed="false">
      <c r="A218" s="11" t="n">
        <v>214</v>
      </c>
      <c r="B218" s="14" t="s">
        <v>1034</v>
      </c>
      <c r="C218" s="11" t="s">
        <v>1035</v>
      </c>
      <c r="D218" s="11" t="n">
        <v>0.3</v>
      </c>
      <c r="E218" s="11" t="n">
        <v>1</v>
      </c>
      <c r="F218" s="11" t="n">
        <v>1</v>
      </c>
      <c r="G218" s="13" t="n">
        <v>37992</v>
      </c>
      <c r="H218" s="11" t="n">
        <v>0</v>
      </c>
      <c r="I218" s="11" t="n">
        <v>0</v>
      </c>
      <c r="J218" s="11" t="n">
        <v>1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1</v>
      </c>
      <c r="P218" s="11" t="n">
        <v>0</v>
      </c>
      <c r="Q218" s="11" t="n">
        <v>0</v>
      </c>
      <c r="R218" s="14" t="s">
        <v>1036</v>
      </c>
      <c r="S218" s="15" t="n">
        <v>1</v>
      </c>
      <c r="T218" s="11" t="s">
        <v>950</v>
      </c>
      <c r="U218" s="14" t="s">
        <v>1037</v>
      </c>
      <c r="V218" s="16" t="s">
        <v>56</v>
      </c>
      <c r="W218" s="17" t="s">
        <v>4</v>
      </c>
      <c r="X218" s="17"/>
      <c r="Y218" s="18"/>
      <c r="Z218" s="18"/>
      <c r="AA218" s="17"/>
      <c r="AB218" s="18"/>
    </row>
    <row r="219" customFormat="false" ht="23.85" hidden="false" customHeight="false" outlineLevel="0" collapsed="false">
      <c r="A219" s="11" t="n">
        <v>215</v>
      </c>
      <c r="B219" s="14" t="s">
        <v>1038</v>
      </c>
      <c r="C219" s="11" t="s">
        <v>1039</v>
      </c>
      <c r="D219" s="11" t="n">
        <v>0.3</v>
      </c>
      <c r="E219" s="11" t="n">
        <v>1</v>
      </c>
      <c r="F219" s="11" t="n">
        <v>1</v>
      </c>
      <c r="G219" s="13" t="n">
        <v>19498</v>
      </c>
      <c r="H219" s="11" t="n">
        <v>0</v>
      </c>
      <c r="I219" s="11" t="n">
        <v>0</v>
      </c>
      <c r="J219" s="11" t="n">
        <v>1</v>
      </c>
      <c r="K219" s="11" t="n">
        <v>0</v>
      </c>
      <c r="L219" s="11" t="n">
        <v>0</v>
      </c>
      <c r="M219" s="11" t="n">
        <v>0</v>
      </c>
      <c r="N219" s="11" t="n">
        <v>1</v>
      </c>
      <c r="O219" s="11" t="n">
        <v>0</v>
      </c>
      <c r="P219" s="11" t="n">
        <v>0</v>
      </c>
      <c r="Q219" s="11" t="n">
        <v>0</v>
      </c>
      <c r="R219" s="14" t="s">
        <v>1040</v>
      </c>
      <c r="S219" s="15" t="n">
        <v>1</v>
      </c>
      <c r="T219" s="11" t="s">
        <v>1041</v>
      </c>
      <c r="U219" s="14" t="s">
        <v>1042</v>
      </c>
      <c r="V219" s="16" t="s">
        <v>56</v>
      </c>
      <c r="W219" s="17" t="s">
        <v>4</v>
      </c>
      <c r="X219" s="17"/>
      <c r="Y219" s="18"/>
      <c r="Z219" s="18"/>
      <c r="AA219" s="17"/>
      <c r="AB219" s="18"/>
    </row>
    <row r="220" customFormat="false" ht="35.05" hidden="false" customHeight="false" outlineLevel="0" collapsed="false">
      <c r="A220" s="11" t="n">
        <v>216</v>
      </c>
      <c r="B220" s="14" t="s">
        <v>1043</v>
      </c>
      <c r="C220" s="11" t="s">
        <v>1044</v>
      </c>
      <c r="D220" s="11" t="n">
        <v>0.3</v>
      </c>
      <c r="E220" s="11" t="n">
        <v>1</v>
      </c>
      <c r="F220" s="11" t="n">
        <v>1</v>
      </c>
      <c r="G220" s="13" t="n">
        <v>2520</v>
      </c>
      <c r="H220" s="11" t="n">
        <v>0</v>
      </c>
      <c r="I220" s="11" t="n">
        <v>0</v>
      </c>
      <c r="J220" s="11" t="n">
        <v>1</v>
      </c>
      <c r="K220" s="11" t="n">
        <v>0</v>
      </c>
      <c r="L220" s="11" t="n">
        <v>0</v>
      </c>
      <c r="M220" s="11" t="n">
        <v>0</v>
      </c>
      <c r="N220" s="11" t="n">
        <v>1</v>
      </c>
      <c r="O220" s="11" t="n">
        <v>0</v>
      </c>
      <c r="P220" s="11" t="n">
        <v>0</v>
      </c>
      <c r="Q220" s="11" t="n">
        <v>0</v>
      </c>
      <c r="R220" s="14" t="s">
        <v>1045</v>
      </c>
      <c r="S220" s="15" t="n">
        <v>1</v>
      </c>
      <c r="T220" s="11" t="s">
        <v>1046</v>
      </c>
      <c r="U220" s="14" t="s">
        <v>1047</v>
      </c>
      <c r="V220" s="16" t="s">
        <v>56</v>
      </c>
      <c r="W220" s="17" t="s">
        <v>4</v>
      </c>
      <c r="X220" s="17"/>
      <c r="Y220" s="18"/>
      <c r="Z220" s="18"/>
      <c r="AA220" s="17"/>
      <c r="AB220" s="18"/>
    </row>
    <row r="221" customFormat="false" ht="35.05" hidden="false" customHeight="false" outlineLevel="0" collapsed="false">
      <c r="A221" s="11" t="n">
        <v>217</v>
      </c>
      <c r="B221" s="14" t="s">
        <v>1048</v>
      </c>
      <c r="C221" s="11" t="s">
        <v>1049</v>
      </c>
      <c r="D221" s="11" t="n">
        <v>0.3</v>
      </c>
      <c r="E221" s="11" t="n">
        <v>1</v>
      </c>
      <c r="F221" s="11" t="n">
        <v>1</v>
      </c>
      <c r="G221" s="13" t="n">
        <v>4168</v>
      </c>
      <c r="H221" s="11" t="n">
        <v>0</v>
      </c>
      <c r="I221" s="11" t="n">
        <v>0</v>
      </c>
      <c r="J221" s="11" t="n">
        <v>1</v>
      </c>
      <c r="K221" s="11" t="n">
        <v>0</v>
      </c>
      <c r="L221" s="11" t="n">
        <v>0</v>
      </c>
      <c r="M221" s="11" t="n">
        <v>0</v>
      </c>
      <c r="N221" s="11" t="n">
        <v>1</v>
      </c>
      <c r="O221" s="11" t="n">
        <v>0</v>
      </c>
      <c r="P221" s="11" t="n">
        <v>0</v>
      </c>
      <c r="Q221" s="11" t="n">
        <v>0</v>
      </c>
      <c r="R221" s="14" t="s">
        <v>1050</v>
      </c>
      <c r="S221" s="15" t="n">
        <v>1</v>
      </c>
      <c r="T221" s="11" t="s">
        <v>958</v>
      </c>
      <c r="U221" s="14" t="s">
        <v>1051</v>
      </c>
      <c r="V221" s="16" t="s">
        <v>56</v>
      </c>
      <c r="W221" s="17" t="s">
        <v>4</v>
      </c>
      <c r="X221" s="17"/>
      <c r="Y221" s="18"/>
      <c r="Z221" s="18"/>
      <c r="AA221" s="17"/>
      <c r="AB221" s="18"/>
    </row>
    <row r="222" customFormat="false" ht="23.85" hidden="false" customHeight="false" outlineLevel="0" collapsed="false">
      <c r="A222" s="11" t="n">
        <v>218</v>
      </c>
      <c r="B222" s="14" t="s">
        <v>1052</v>
      </c>
      <c r="C222" s="11" t="s">
        <v>1053</v>
      </c>
      <c r="D222" s="11" t="n">
        <v>0.3</v>
      </c>
      <c r="E222" s="11" t="n">
        <v>1</v>
      </c>
      <c r="F222" s="11" t="n">
        <v>1</v>
      </c>
      <c r="G222" s="13" t="n">
        <v>13500</v>
      </c>
      <c r="H222" s="11" t="n">
        <v>0</v>
      </c>
      <c r="I222" s="11" t="n">
        <v>0</v>
      </c>
      <c r="J222" s="11" t="n">
        <v>1</v>
      </c>
      <c r="K222" s="11" t="n">
        <v>0</v>
      </c>
      <c r="L222" s="11" t="n">
        <v>0</v>
      </c>
      <c r="M222" s="11" t="n">
        <v>0</v>
      </c>
      <c r="N222" s="11" t="n">
        <v>1</v>
      </c>
      <c r="O222" s="11" t="n">
        <v>0</v>
      </c>
      <c r="P222" s="11" t="n">
        <v>0</v>
      </c>
      <c r="Q222" s="11" t="n">
        <v>0</v>
      </c>
      <c r="R222" s="14" t="s">
        <v>1054</v>
      </c>
      <c r="S222" s="15" t="n">
        <v>1</v>
      </c>
      <c r="T222" s="11" t="s">
        <v>1055</v>
      </c>
      <c r="U222" s="14" t="s">
        <v>1056</v>
      </c>
      <c r="V222" s="16" t="s">
        <v>56</v>
      </c>
      <c r="W222" s="17" t="s">
        <v>4</v>
      </c>
      <c r="X222" s="17"/>
      <c r="Y222" s="18"/>
      <c r="Z222" s="18"/>
      <c r="AA222" s="17"/>
      <c r="AB222" s="18"/>
    </row>
    <row r="223" customFormat="false" ht="23.85" hidden="false" customHeight="false" outlineLevel="0" collapsed="false">
      <c r="A223" s="11" t="n">
        <v>219</v>
      </c>
      <c r="B223" s="14" t="s">
        <v>1057</v>
      </c>
      <c r="C223" s="11" t="s">
        <v>1058</v>
      </c>
      <c r="D223" s="11" t="n">
        <v>0.3</v>
      </c>
      <c r="E223" s="11" t="n">
        <v>1</v>
      </c>
      <c r="F223" s="11" t="n">
        <v>1</v>
      </c>
      <c r="G223" s="13" t="n">
        <v>43975</v>
      </c>
      <c r="H223" s="11" t="n">
        <v>0</v>
      </c>
      <c r="I223" s="11" t="n">
        <v>0</v>
      </c>
      <c r="J223" s="11" t="n">
        <v>1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1</v>
      </c>
      <c r="P223" s="11" t="n">
        <v>0</v>
      </c>
      <c r="Q223" s="11" t="n">
        <v>0</v>
      </c>
      <c r="R223" s="14" t="s">
        <v>1059</v>
      </c>
      <c r="S223" s="15" t="n">
        <v>1</v>
      </c>
      <c r="T223" s="11" t="s">
        <v>1060</v>
      </c>
      <c r="U223" s="14" t="s">
        <v>1061</v>
      </c>
      <c r="V223" s="16" t="s">
        <v>56</v>
      </c>
      <c r="W223" s="17" t="s">
        <v>4</v>
      </c>
      <c r="X223" s="17"/>
      <c r="Y223" s="18"/>
      <c r="Z223" s="18"/>
      <c r="AA223" s="17"/>
      <c r="AB223" s="18"/>
    </row>
    <row r="224" customFormat="false" ht="15" hidden="false" customHeight="false" outlineLevel="0" collapsed="false">
      <c r="A224" s="11" t="n">
        <v>220</v>
      </c>
      <c r="B224" s="14" t="s">
        <v>1062</v>
      </c>
      <c r="C224" s="11" t="s">
        <v>1063</v>
      </c>
      <c r="D224" s="11" t="n">
        <v>0.3</v>
      </c>
      <c r="E224" s="11" t="n">
        <v>1</v>
      </c>
      <c r="F224" s="11" t="n">
        <v>1</v>
      </c>
      <c r="G224" s="13" t="n">
        <v>1206</v>
      </c>
      <c r="H224" s="11" t="n">
        <v>0</v>
      </c>
      <c r="I224" s="11" t="n">
        <v>0</v>
      </c>
      <c r="J224" s="11" t="n">
        <v>1</v>
      </c>
      <c r="K224" s="11" t="n">
        <v>0</v>
      </c>
      <c r="L224" s="11" t="n">
        <v>0</v>
      </c>
      <c r="M224" s="11" t="n">
        <v>0</v>
      </c>
      <c r="N224" s="11" t="n">
        <v>1</v>
      </c>
      <c r="O224" s="11" t="n">
        <v>0</v>
      </c>
      <c r="P224" s="11" t="n">
        <v>0</v>
      </c>
      <c r="Q224" s="11" t="n">
        <v>0</v>
      </c>
      <c r="R224" s="14" t="s">
        <v>1064</v>
      </c>
      <c r="S224" s="15" t="n">
        <v>1</v>
      </c>
      <c r="T224" s="11" t="s">
        <v>1065</v>
      </c>
      <c r="U224" s="14" t="s">
        <v>1066</v>
      </c>
      <c r="V224" s="16" t="s">
        <v>56</v>
      </c>
      <c r="W224" s="17" t="s">
        <v>4</v>
      </c>
      <c r="X224" s="17"/>
      <c r="Y224" s="18"/>
      <c r="Z224" s="18"/>
      <c r="AA224" s="17"/>
      <c r="AB224" s="18"/>
    </row>
    <row r="225" customFormat="false" ht="23.85" hidden="false" customHeight="false" outlineLevel="0" collapsed="false">
      <c r="A225" s="11" t="n">
        <v>221</v>
      </c>
      <c r="B225" s="14" t="s">
        <v>1067</v>
      </c>
      <c r="C225" s="11" t="s">
        <v>1068</v>
      </c>
      <c r="D225" s="11" t="n">
        <v>0.3</v>
      </c>
      <c r="E225" s="11" t="n">
        <v>1</v>
      </c>
      <c r="F225" s="11" t="n">
        <v>1</v>
      </c>
      <c r="G225" s="13" t="n">
        <v>16260</v>
      </c>
      <c r="H225" s="11" t="n">
        <v>0</v>
      </c>
      <c r="I225" s="11" t="n">
        <v>0</v>
      </c>
      <c r="J225" s="11" t="n">
        <v>1</v>
      </c>
      <c r="K225" s="11" t="n">
        <v>0</v>
      </c>
      <c r="L225" s="11" t="n">
        <v>0</v>
      </c>
      <c r="M225" s="11" t="n">
        <v>0</v>
      </c>
      <c r="N225" s="11" t="n">
        <v>1</v>
      </c>
      <c r="O225" s="11" t="n">
        <v>0</v>
      </c>
      <c r="P225" s="11" t="n">
        <v>0</v>
      </c>
      <c r="Q225" s="11" t="n">
        <v>0</v>
      </c>
      <c r="R225" s="14" t="s">
        <v>1069</v>
      </c>
      <c r="S225" s="15" t="n">
        <v>1</v>
      </c>
      <c r="T225" s="11" t="s">
        <v>1070</v>
      </c>
      <c r="U225" s="14" t="s">
        <v>1071</v>
      </c>
      <c r="V225" s="16" t="s">
        <v>56</v>
      </c>
      <c r="W225" s="17" t="s">
        <v>4</v>
      </c>
      <c r="X225" s="17"/>
      <c r="Y225" s="18"/>
      <c r="Z225" s="18"/>
      <c r="AA225" s="17"/>
      <c r="AB225" s="18"/>
    </row>
    <row r="226" customFormat="false" ht="35.05" hidden="false" customHeight="false" outlineLevel="0" collapsed="false">
      <c r="A226" s="11" t="n">
        <v>222</v>
      </c>
      <c r="B226" s="14" t="s">
        <v>1072</v>
      </c>
      <c r="C226" s="11" t="s">
        <v>1073</v>
      </c>
      <c r="D226" s="11" t="n">
        <v>0.3</v>
      </c>
      <c r="E226" s="11" t="n">
        <v>1</v>
      </c>
      <c r="F226" s="11" t="n">
        <v>1</v>
      </c>
      <c r="G226" s="13" t="n">
        <v>6750</v>
      </c>
      <c r="H226" s="11" t="n">
        <v>0</v>
      </c>
      <c r="I226" s="11" t="n">
        <v>0</v>
      </c>
      <c r="J226" s="11" t="n">
        <v>1</v>
      </c>
      <c r="K226" s="11" t="n">
        <v>0</v>
      </c>
      <c r="L226" s="11" t="n">
        <v>0</v>
      </c>
      <c r="M226" s="11" t="n">
        <v>0</v>
      </c>
      <c r="N226" s="11" t="n">
        <v>1</v>
      </c>
      <c r="O226" s="11" t="n">
        <v>0</v>
      </c>
      <c r="P226" s="11" t="n">
        <v>0</v>
      </c>
      <c r="Q226" s="11" t="n">
        <v>0</v>
      </c>
      <c r="R226" s="14" t="s">
        <v>1074</v>
      </c>
      <c r="S226" s="15" t="n">
        <v>1</v>
      </c>
      <c r="T226" s="11" t="s">
        <v>1075</v>
      </c>
      <c r="U226" s="14" t="s">
        <v>1076</v>
      </c>
      <c r="V226" s="16" t="s">
        <v>56</v>
      </c>
      <c r="W226" s="17" t="s">
        <v>4</v>
      </c>
      <c r="X226" s="17"/>
      <c r="Y226" s="18"/>
      <c r="Z226" s="18"/>
      <c r="AA226" s="17"/>
      <c r="AB226" s="18"/>
    </row>
    <row r="227" customFormat="false" ht="15" hidden="false" customHeight="false" outlineLevel="0" collapsed="false">
      <c r="A227" s="11" t="n">
        <v>223</v>
      </c>
      <c r="B227" s="14" t="s">
        <v>1077</v>
      </c>
      <c r="C227" s="11" t="s">
        <v>1078</v>
      </c>
      <c r="D227" s="11" t="n">
        <v>0.3</v>
      </c>
      <c r="E227" s="11" t="n">
        <v>1</v>
      </c>
      <c r="F227" s="11" t="n">
        <v>1</v>
      </c>
      <c r="G227" s="13" t="n">
        <v>10904</v>
      </c>
      <c r="H227" s="11" t="n">
        <v>0</v>
      </c>
      <c r="I227" s="11" t="n">
        <v>0</v>
      </c>
      <c r="J227" s="11" t="n">
        <v>1</v>
      </c>
      <c r="K227" s="11" t="n">
        <v>0</v>
      </c>
      <c r="L227" s="11" t="n">
        <v>0</v>
      </c>
      <c r="M227" s="11" t="n">
        <v>0</v>
      </c>
      <c r="N227" s="11" t="n">
        <v>1</v>
      </c>
      <c r="O227" s="11" t="n">
        <v>0</v>
      </c>
      <c r="P227" s="11" t="n">
        <v>0</v>
      </c>
      <c r="Q227" s="11" t="n">
        <v>0</v>
      </c>
      <c r="R227" s="14" t="s">
        <v>1050</v>
      </c>
      <c r="S227" s="15" t="n">
        <v>1</v>
      </c>
      <c r="T227" s="11" t="s">
        <v>1079</v>
      </c>
      <c r="U227" s="14" t="s">
        <v>1080</v>
      </c>
      <c r="V227" s="16" t="s">
        <v>56</v>
      </c>
      <c r="W227" s="17" t="s">
        <v>4</v>
      </c>
      <c r="X227" s="17"/>
      <c r="Y227" s="18"/>
      <c r="Z227" s="18"/>
      <c r="AA227" s="17"/>
      <c r="AB227" s="18"/>
    </row>
    <row r="228" customFormat="false" ht="23.85" hidden="false" customHeight="false" outlineLevel="0" collapsed="false">
      <c r="A228" s="11" t="n">
        <v>224</v>
      </c>
      <c r="B228" s="14" t="s">
        <v>1081</v>
      </c>
      <c r="C228" s="11" t="s">
        <v>1082</v>
      </c>
      <c r="D228" s="11" t="n">
        <v>0.3</v>
      </c>
      <c r="E228" s="11" t="n">
        <v>1</v>
      </c>
      <c r="F228" s="11" t="n">
        <v>1</v>
      </c>
      <c r="G228" s="13" t="n">
        <v>17343</v>
      </c>
      <c r="H228" s="11" t="n">
        <v>0</v>
      </c>
      <c r="I228" s="11" t="n">
        <v>0</v>
      </c>
      <c r="J228" s="11" t="n">
        <v>1</v>
      </c>
      <c r="K228" s="11" t="n">
        <v>0</v>
      </c>
      <c r="L228" s="11" t="n">
        <v>0</v>
      </c>
      <c r="M228" s="11" t="n">
        <v>0</v>
      </c>
      <c r="N228" s="11" t="n">
        <v>1</v>
      </c>
      <c r="O228" s="11" t="n">
        <v>0</v>
      </c>
      <c r="P228" s="11" t="n">
        <v>0</v>
      </c>
      <c r="Q228" s="11" t="n">
        <v>0</v>
      </c>
      <c r="R228" s="14" t="s">
        <v>1083</v>
      </c>
      <c r="S228" s="15" t="n">
        <v>1</v>
      </c>
      <c r="T228" s="11" t="s">
        <v>1084</v>
      </c>
      <c r="U228" s="14" t="s">
        <v>1085</v>
      </c>
      <c r="V228" s="16" t="s">
        <v>56</v>
      </c>
      <c r="W228" s="17" t="s">
        <v>4</v>
      </c>
      <c r="X228" s="17"/>
      <c r="Y228" s="18"/>
      <c r="Z228" s="18"/>
      <c r="AA228" s="17"/>
      <c r="AB228" s="18"/>
    </row>
    <row r="229" customFormat="false" ht="15" hidden="false" customHeight="false" outlineLevel="0" collapsed="false">
      <c r="A229" s="11" t="n">
        <v>225</v>
      </c>
      <c r="B229" s="14" t="s">
        <v>1086</v>
      </c>
      <c r="C229" s="11" t="s">
        <v>1087</v>
      </c>
      <c r="D229" s="11" t="n">
        <v>0.3</v>
      </c>
      <c r="E229" s="11" t="n">
        <v>1</v>
      </c>
      <c r="F229" s="11" t="n">
        <v>1</v>
      </c>
      <c r="G229" s="13" t="n">
        <v>12926</v>
      </c>
      <c r="H229" s="11" t="n">
        <v>0</v>
      </c>
      <c r="I229" s="11" t="n">
        <v>0</v>
      </c>
      <c r="J229" s="11" t="n">
        <v>1</v>
      </c>
      <c r="K229" s="11" t="n">
        <v>0</v>
      </c>
      <c r="L229" s="11" t="n">
        <v>0</v>
      </c>
      <c r="M229" s="11" t="n">
        <v>0</v>
      </c>
      <c r="N229" s="11" t="n">
        <v>1</v>
      </c>
      <c r="O229" s="11" t="n">
        <v>0</v>
      </c>
      <c r="P229" s="11" t="n">
        <v>0</v>
      </c>
      <c r="Q229" s="11" t="n">
        <v>0</v>
      </c>
      <c r="R229" s="14" t="s">
        <v>1088</v>
      </c>
      <c r="S229" s="15" t="n">
        <v>1</v>
      </c>
      <c r="T229" s="11" t="s">
        <v>1089</v>
      </c>
      <c r="U229" s="14" t="s">
        <v>1090</v>
      </c>
      <c r="V229" s="16" t="s">
        <v>56</v>
      </c>
      <c r="W229" s="17" t="s">
        <v>4</v>
      </c>
      <c r="X229" s="17"/>
      <c r="Y229" s="18"/>
      <c r="Z229" s="18"/>
      <c r="AA229" s="17"/>
      <c r="AB229" s="18"/>
    </row>
    <row r="230" customFormat="false" ht="35.05" hidden="false" customHeight="false" outlineLevel="0" collapsed="false">
      <c r="A230" s="11" t="n">
        <v>226</v>
      </c>
      <c r="B230" s="14" t="s">
        <v>1091</v>
      </c>
      <c r="C230" s="11" t="s">
        <v>1092</v>
      </c>
      <c r="D230" s="11" t="n">
        <v>0.3</v>
      </c>
      <c r="E230" s="11" t="n">
        <v>1</v>
      </c>
      <c r="F230" s="11" t="n">
        <v>1</v>
      </c>
      <c r="G230" s="13" t="n">
        <v>5880</v>
      </c>
      <c r="H230" s="11" t="n">
        <v>0</v>
      </c>
      <c r="I230" s="11" t="n">
        <v>0</v>
      </c>
      <c r="J230" s="11" t="n">
        <v>1</v>
      </c>
      <c r="K230" s="11" t="n">
        <v>0</v>
      </c>
      <c r="L230" s="11" t="n">
        <v>0</v>
      </c>
      <c r="M230" s="11" t="n">
        <v>0</v>
      </c>
      <c r="N230" s="11" t="n">
        <v>1</v>
      </c>
      <c r="O230" s="11" t="n">
        <v>0</v>
      </c>
      <c r="P230" s="11" t="n">
        <v>0</v>
      </c>
      <c r="Q230" s="11" t="n">
        <v>0</v>
      </c>
      <c r="R230" s="14" t="s">
        <v>1093</v>
      </c>
      <c r="S230" s="15" t="n">
        <v>1</v>
      </c>
      <c r="T230" s="11" t="s">
        <v>1094</v>
      </c>
      <c r="U230" s="14" t="s">
        <v>1095</v>
      </c>
      <c r="V230" s="16" t="s">
        <v>56</v>
      </c>
      <c r="W230" s="17" t="s">
        <v>4</v>
      </c>
      <c r="X230" s="17"/>
      <c r="Y230" s="18"/>
      <c r="Z230" s="18"/>
      <c r="AA230" s="17"/>
      <c r="AB230" s="18"/>
    </row>
  </sheetData>
  <autoFilter ref="A4:AB230"/>
  <dataValidations count="2">
    <dataValidation allowBlank="true" errorStyle="stop" operator="between" showDropDown="false" showErrorMessage="false" showInputMessage="false" sqref="W5:W230" type="list">
      <formula1>"Por contactar,Contactado,Reunião marcada,Registado como fornecedor,Convidado,Proposta entregue,Ganho,Perdido,Sem interesse"</formula1>
      <formula2>0</formula2>
    </dataValidation>
    <dataValidation allowBlank="true" errorStyle="stop" operator="between" showDropDown="false" showErrorMessage="false" showInputMessage="false" sqref="X5:X230" type="list">
      <formula1>"Helder,Crislaine"</formula1>
      <formula2>0</formula2>
    </dataValidation>
  </dataValidations>
  <hyperlinks>
    <hyperlink ref="V5" r:id="rId1" display="abrir contratos"/>
    <hyperlink ref="V6" r:id="rId2" display="abrir contratos"/>
    <hyperlink ref="V7" r:id="rId3" display="abrir contratos"/>
    <hyperlink ref="V8" r:id="rId4" display="abrir contratos"/>
    <hyperlink ref="V9" r:id="rId5" display="abrir contratos"/>
    <hyperlink ref="V10" r:id="rId6" display="abrir contratos"/>
    <hyperlink ref="V11" r:id="rId7" display="abrir contratos"/>
    <hyperlink ref="V12" r:id="rId8" display="abrir contratos"/>
    <hyperlink ref="V13" r:id="rId9" display="abrir contratos"/>
    <hyperlink ref="V14" r:id="rId10" display="abrir contratos"/>
    <hyperlink ref="V15" r:id="rId11" display="abrir contratos"/>
    <hyperlink ref="V16" r:id="rId12" display="abrir contratos"/>
    <hyperlink ref="V17" r:id="rId13" display="abrir contratos"/>
    <hyperlink ref="V18" r:id="rId14" display="abrir contratos"/>
    <hyperlink ref="V19" r:id="rId15" display="abrir contratos"/>
    <hyperlink ref="V20" r:id="rId16" display="abrir contratos"/>
    <hyperlink ref="V21" r:id="rId17" display="abrir contratos"/>
    <hyperlink ref="V22" r:id="rId18" display="abrir contratos"/>
    <hyperlink ref="V23" r:id="rId19" display="abrir contratos"/>
    <hyperlink ref="V24" r:id="rId20" display="abrir contratos"/>
    <hyperlink ref="V25" r:id="rId21" display="abrir contratos"/>
    <hyperlink ref="V26" r:id="rId22" display="abrir contratos"/>
    <hyperlink ref="V27" r:id="rId23" display="abrir contratos"/>
    <hyperlink ref="V28" r:id="rId24" display="abrir contratos"/>
    <hyperlink ref="V29" r:id="rId25" display="abrir contratos"/>
    <hyperlink ref="V30" r:id="rId26" display="abrir contratos"/>
    <hyperlink ref="V31" r:id="rId27" display="abrir contratos"/>
    <hyperlink ref="V32" r:id="rId28" display="abrir contratos"/>
    <hyperlink ref="V33" r:id="rId29" display="abrir contratos"/>
    <hyperlink ref="V34" r:id="rId30" display="abrir contratos"/>
    <hyperlink ref="V35" r:id="rId31" display="abrir contratos"/>
    <hyperlink ref="V36" r:id="rId32" display="abrir contratos"/>
    <hyperlink ref="V37" r:id="rId33" display="abrir contratos"/>
    <hyperlink ref="V38" r:id="rId34" display="abrir contratos"/>
    <hyperlink ref="V39" r:id="rId35" display="abrir contratos"/>
    <hyperlink ref="V40" r:id="rId36" display="abrir contratos"/>
    <hyperlink ref="V41" r:id="rId37" display="abrir contratos"/>
    <hyperlink ref="V42" r:id="rId38" display="abrir contratos"/>
    <hyperlink ref="V43" r:id="rId39" display="abrir contratos"/>
    <hyperlink ref="V44" r:id="rId40" display="abrir contratos"/>
    <hyperlink ref="V45" r:id="rId41" display="abrir contratos"/>
    <hyperlink ref="V46" r:id="rId42" display="abrir contratos"/>
    <hyperlink ref="V47" r:id="rId43" display="abrir contratos"/>
    <hyperlink ref="V48" r:id="rId44" display="abrir contratos"/>
    <hyperlink ref="V49" r:id="rId45" display="abrir contratos"/>
    <hyperlink ref="V50" r:id="rId46" display="abrir contratos"/>
    <hyperlink ref="V51" r:id="rId47" display="abrir contratos"/>
    <hyperlink ref="V52" r:id="rId48" display="abrir contratos"/>
    <hyperlink ref="V53" r:id="rId49" display="abrir contratos"/>
    <hyperlink ref="V54" r:id="rId50" display="abrir contratos"/>
    <hyperlink ref="V55" r:id="rId51" display="abrir contratos"/>
    <hyperlink ref="V56" r:id="rId52" display="abrir contratos"/>
    <hyperlink ref="V57" r:id="rId53" display="abrir contratos"/>
    <hyperlink ref="V58" r:id="rId54" display="abrir contratos"/>
    <hyperlink ref="V59" r:id="rId55" display="abrir contratos"/>
    <hyperlink ref="V60" r:id="rId56" display="abrir contratos"/>
    <hyperlink ref="V61" r:id="rId57" display="abrir contratos"/>
    <hyperlink ref="V62" r:id="rId58" display="abrir contratos"/>
    <hyperlink ref="V63" r:id="rId59" display="abrir contratos"/>
    <hyperlink ref="V64" r:id="rId60" display="abrir contratos"/>
    <hyperlink ref="V65" r:id="rId61" display="abrir contratos"/>
    <hyperlink ref="V66" r:id="rId62" display="abrir contratos"/>
    <hyperlink ref="V67" r:id="rId63" display="abrir contratos"/>
    <hyperlink ref="V68" r:id="rId64" display="abrir contratos"/>
    <hyperlink ref="V69" r:id="rId65" display="abrir contratos"/>
    <hyperlink ref="V70" r:id="rId66" display="abrir contratos"/>
    <hyperlink ref="V71" r:id="rId67" display="abrir contratos"/>
    <hyperlink ref="V72" r:id="rId68" display="abrir contratos"/>
    <hyperlink ref="V73" r:id="rId69" display="abrir contratos"/>
    <hyperlink ref="V74" r:id="rId70" display="abrir contratos"/>
    <hyperlink ref="V75" r:id="rId71" display="abrir contratos"/>
    <hyperlink ref="V76" r:id="rId72" display="abrir contratos"/>
    <hyperlink ref="V77" r:id="rId73" display="abrir contratos"/>
    <hyperlink ref="V78" r:id="rId74" display="abrir contratos"/>
    <hyperlink ref="V79" r:id="rId75" display="abrir contratos"/>
    <hyperlink ref="V80" r:id="rId76" display="abrir contratos"/>
    <hyperlink ref="V81" r:id="rId77" display="abrir contratos"/>
    <hyperlink ref="V82" r:id="rId78" display="abrir contratos"/>
    <hyperlink ref="V83" r:id="rId79" display="abrir contratos"/>
    <hyperlink ref="V84" r:id="rId80" display="abrir contratos"/>
    <hyperlink ref="V85" r:id="rId81" display="abrir contratos"/>
    <hyperlink ref="V86" r:id="rId82" display="abrir contratos"/>
    <hyperlink ref="V87" r:id="rId83" display="abrir contratos"/>
    <hyperlink ref="V88" r:id="rId84" display="abrir contratos"/>
    <hyperlink ref="V89" r:id="rId85" display="abrir contratos"/>
    <hyperlink ref="V90" r:id="rId86" display="abrir contratos"/>
    <hyperlink ref="V91" r:id="rId87" display="abrir contratos"/>
    <hyperlink ref="V92" r:id="rId88" display="abrir contratos"/>
    <hyperlink ref="V93" r:id="rId89" display="abrir contratos"/>
    <hyperlink ref="V94" r:id="rId90" display="abrir contratos"/>
    <hyperlink ref="V95" r:id="rId91" display="abrir contratos"/>
    <hyperlink ref="V96" r:id="rId92" display="abrir contratos"/>
    <hyperlink ref="V97" r:id="rId93" display="abrir contratos"/>
    <hyperlink ref="V98" r:id="rId94" display="abrir contratos"/>
    <hyperlink ref="V99" r:id="rId95" display="abrir contratos"/>
    <hyperlink ref="V100" r:id="rId96" display="abrir contratos"/>
    <hyperlink ref="V101" r:id="rId97" display="abrir contratos"/>
    <hyperlink ref="V102" r:id="rId98" display="abrir contratos"/>
    <hyperlink ref="V103" r:id="rId99" display="abrir contratos"/>
    <hyperlink ref="V104" r:id="rId100" display="abrir contratos"/>
    <hyperlink ref="V105" r:id="rId101" display="abrir contratos"/>
    <hyperlink ref="V106" r:id="rId102" display="abrir contratos"/>
    <hyperlink ref="V107" r:id="rId103" display="abrir contratos"/>
    <hyperlink ref="V108" r:id="rId104" display="abrir contratos"/>
    <hyperlink ref="V109" r:id="rId105" display="abrir contratos"/>
    <hyperlink ref="V110" r:id="rId106" display="abrir contratos"/>
    <hyperlink ref="V111" r:id="rId107" display="abrir contratos"/>
    <hyperlink ref="V112" r:id="rId108" display="abrir contratos"/>
    <hyperlink ref="V113" r:id="rId109" display="abrir contratos"/>
    <hyperlink ref="V114" r:id="rId110" display="abrir contratos"/>
    <hyperlink ref="V115" r:id="rId111" display="abrir contratos"/>
    <hyperlink ref="V116" r:id="rId112" display="abrir contratos"/>
    <hyperlink ref="V117" r:id="rId113" display="abrir contratos"/>
    <hyperlink ref="V118" r:id="rId114" display="abrir contratos"/>
    <hyperlink ref="V119" r:id="rId115" display="abrir contratos"/>
    <hyperlink ref="V120" r:id="rId116" display="abrir contratos"/>
    <hyperlink ref="V121" r:id="rId117" display="abrir contratos"/>
    <hyperlink ref="V122" r:id="rId118" display="abrir contratos"/>
    <hyperlink ref="V123" r:id="rId119" display="abrir contratos"/>
    <hyperlink ref="V124" r:id="rId120" display="abrir contratos"/>
    <hyperlink ref="V125" r:id="rId121" display="abrir contratos"/>
    <hyperlink ref="V126" r:id="rId122" display="abrir contratos"/>
    <hyperlink ref="V127" r:id="rId123" display="abrir contratos"/>
    <hyperlink ref="V128" r:id="rId124" display="abrir contratos"/>
    <hyperlink ref="V129" r:id="rId125" display="abrir contratos"/>
    <hyperlink ref="V130" r:id="rId126" display="abrir contratos"/>
    <hyperlink ref="V131" r:id="rId127" display="abrir contratos"/>
    <hyperlink ref="V132" r:id="rId128" display="abrir contratos"/>
    <hyperlink ref="V133" r:id="rId129" display="abrir contratos"/>
    <hyperlink ref="V134" r:id="rId130" display="abrir contratos"/>
    <hyperlink ref="V135" r:id="rId131" display="abrir contratos"/>
    <hyperlink ref="V136" r:id="rId132" display="abrir contratos"/>
    <hyperlink ref="V137" r:id="rId133" display="abrir contratos"/>
    <hyperlink ref="V138" r:id="rId134" display="abrir contratos"/>
    <hyperlink ref="V139" r:id="rId135" display="abrir contratos"/>
    <hyperlink ref="V140" r:id="rId136" display="abrir contratos"/>
    <hyperlink ref="V141" r:id="rId137" display="abrir contratos"/>
    <hyperlink ref="V142" r:id="rId138" display="abrir contratos"/>
    <hyperlink ref="V143" r:id="rId139" display="abrir contratos"/>
    <hyperlink ref="V144" r:id="rId140" display="abrir contratos"/>
    <hyperlink ref="V145" r:id="rId141" display="abrir contratos"/>
    <hyperlink ref="V146" r:id="rId142" display="abrir contratos"/>
    <hyperlink ref="V147" r:id="rId143" display="abrir contratos"/>
    <hyperlink ref="V148" r:id="rId144" display="abrir contratos"/>
    <hyperlink ref="V149" r:id="rId145" display="abrir contratos"/>
    <hyperlink ref="V150" r:id="rId146" display="abrir contratos"/>
    <hyperlink ref="V151" r:id="rId147" display="abrir contratos"/>
    <hyperlink ref="V152" r:id="rId148" display="abrir contratos"/>
    <hyperlink ref="V153" r:id="rId149" display="abrir contratos"/>
    <hyperlink ref="V154" r:id="rId150" display="abrir contratos"/>
    <hyperlink ref="V155" r:id="rId151" display="abrir contratos"/>
    <hyperlink ref="V156" r:id="rId152" display="abrir contratos"/>
    <hyperlink ref="V157" r:id="rId153" display="abrir contratos"/>
    <hyperlink ref="V158" r:id="rId154" display="abrir contratos"/>
    <hyperlink ref="V159" r:id="rId155" display="abrir contratos"/>
    <hyperlink ref="V160" r:id="rId156" display="abrir contratos"/>
    <hyperlink ref="V161" r:id="rId157" display="abrir contratos"/>
    <hyperlink ref="V162" r:id="rId158" display="abrir contratos"/>
    <hyperlink ref="V163" r:id="rId159" display="abrir contratos"/>
    <hyperlink ref="V164" r:id="rId160" display="abrir contratos"/>
    <hyperlink ref="V165" r:id="rId161" display="abrir contratos"/>
    <hyperlink ref="V166" r:id="rId162" display="abrir contratos"/>
    <hyperlink ref="V167" r:id="rId163" display="abrir contratos"/>
    <hyperlink ref="V168" r:id="rId164" display="abrir contratos"/>
    <hyperlink ref="V169" r:id="rId165" display="abrir contratos"/>
    <hyperlink ref="V170" r:id="rId166" display="abrir contratos"/>
    <hyperlink ref="V171" r:id="rId167" display="abrir contratos"/>
    <hyperlink ref="V172" r:id="rId168" display="abrir contratos"/>
    <hyperlink ref="V173" r:id="rId169" display="abrir contratos"/>
    <hyperlink ref="V174" r:id="rId170" display="abrir contratos"/>
    <hyperlink ref="V175" r:id="rId171" display="abrir contratos"/>
    <hyperlink ref="V176" r:id="rId172" display="abrir contratos"/>
    <hyperlink ref="V177" r:id="rId173" display="abrir contratos"/>
    <hyperlink ref="V178" r:id="rId174" display="abrir contratos"/>
    <hyperlink ref="V179" r:id="rId175" display="abrir contratos"/>
    <hyperlink ref="V180" r:id="rId176" display="abrir contratos"/>
    <hyperlink ref="V181" r:id="rId177" display="abrir contratos"/>
    <hyperlink ref="V182" r:id="rId178" display="abrir contratos"/>
    <hyperlink ref="V183" r:id="rId179" display="abrir contratos"/>
    <hyperlink ref="V184" r:id="rId180" display="abrir contratos"/>
    <hyperlink ref="V185" r:id="rId181" display="abrir contratos"/>
    <hyperlink ref="V186" r:id="rId182" display="abrir contratos"/>
    <hyperlink ref="V187" r:id="rId183" display="abrir contratos"/>
    <hyperlink ref="V188" r:id="rId184" display="abrir contratos"/>
    <hyperlink ref="V189" r:id="rId185" display="abrir contratos"/>
    <hyperlink ref="V190" r:id="rId186" display="abrir contratos"/>
    <hyperlink ref="V191" r:id="rId187" display="abrir contratos"/>
    <hyperlink ref="V192" r:id="rId188" display="abrir contratos"/>
    <hyperlink ref="V193" r:id="rId189" display="abrir contratos"/>
    <hyperlink ref="V194" r:id="rId190" display="abrir contratos"/>
    <hyperlink ref="V195" r:id="rId191" display="abrir contratos"/>
    <hyperlink ref="V196" r:id="rId192" display="abrir contratos"/>
    <hyperlink ref="V197" r:id="rId193" display="abrir contratos"/>
    <hyperlink ref="V198" r:id="rId194" display="abrir contratos"/>
    <hyperlink ref="V199" r:id="rId195" display="abrir contratos"/>
    <hyperlink ref="V200" r:id="rId196" display="abrir contratos"/>
    <hyperlink ref="V201" r:id="rId197" display="abrir contratos"/>
    <hyperlink ref="V202" r:id="rId198" display="abrir contratos"/>
    <hyperlink ref="V203" r:id="rId199" display="abrir contratos"/>
    <hyperlink ref="V204" r:id="rId200" display="abrir contratos"/>
    <hyperlink ref="V205" r:id="rId201" display="abrir contratos"/>
    <hyperlink ref="V206" r:id="rId202" display="abrir contratos"/>
    <hyperlink ref="V207" r:id="rId203" display="abrir contratos"/>
    <hyperlink ref="V208" r:id="rId204" display="abrir contratos"/>
    <hyperlink ref="V209" r:id="rId205" display="abrir contratos"/>
    <hyperlink ref="V210" r:id="rId206" display="abrir contratos"/>
    <hyperlink ref="V211" r:id="rId207" display="abrir contratos"/>
    <hyperlink ref="V212" r:id="rId208" display="abrir contratos"/>
    <hyperlink ref="V213" r:id="rId209" display="abrir contratos"/>
    <hyperlink ref="V214" r:id="rId210" display="abrir contratos"/>
    <hyperlink ref="V215" r:id="rId211" display="abrir contratos"/>
    <hyperlink ref="V216" r:id="rId212" display="abrir contratos"/>
    <hyperlink ref="V217" r:id="rId213" display="abrir contratos"/>
    <hyperlink ref="V218" r:id="rId214" display="abrir contratos"/>
    <hyperlink ref="V219" r:id="rId215" display="abrir contratos"/>
    <hyperlink ref="V220" r:id="rId216" display="abrir contratos"/>
    <hyperlink ref="V221" r:id="rId217" display="abrir contratos"/>
    <hyperlink ref="V222" r:id="rId218" display="abrir contratos"/>
    <hyperlink ref="V223" r:id="rId219" display="abrir contratos"/>
    <hyperlink ref="V224" r:id="rId220" display="abrir contratos"/>
    <hyperlink ref="V225" r:id="rId221" display="abrir contratos"/>
    <hyperlink ref="V226" r:id="rId222" display="abrir contratos"/>
    <hyperlink ref="V227" r:id="rId223" display="abrir contratos"/>
    <hyperlink ref="V228" r:id="rId224" display="abrir contratos"/>
    <hyperlink ref="V229" r:id="rId225" display="abrir contratos"/>
    <hyperlink ref="V230" r:id="rId226" display="abrir contrat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1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0" t="s">
        <v>25</v>
      </c>
      <c r="B1" s="10" t="s">
        <v>26</v>
      </c>
      <c r="C1" s="10" t="s">
        <v>49</v>
      </c>
      <c r="D1" s="10" t="s">
        <v>1096</v>
      </c>
      <c r="E1" s="10" t="s">
        <v>1097</v>
      </c>
      <c r="F1" s="10" t="s">
        <v>1098</v>
      </c>
      <c r="G1" s="10" t="s">
        <v>1099</v>
      </c>
      <c r="H1" s="10" t="s">
        <v>1100</v>
      </c>
      <c r="I1" s="10" t="s">
        <v>1101</v>
      </c>
    </row>
    <row r="2" customFormat="false" ht="23.85" hidden="false" customHeight="false" outlineLevel="0" collapsed="false">
      <c r="A2" s="11" t="s">
        <v>51</v>
      </c>
      <c r="B2" s="11" t="s">
        <v>52</v>
      </c>
      <c r="C2" s="11" t="s">
        <v>54</v>
      </c>
      <c r="D2" s="14" t="s">
        <v>55</v>
      </c>
      <c r="E2" s="13" t="n">
        <v>113700</v>
      </c>
      <c r="F2" s="11" t="s">
        <v>1102</v>
      </c>
      <c r="G2" s="11" t="s">
        <v>1103</v>
      </c>
      <c r="H2" s="11" t="s">
        <v>1104</v>
      </c>
      <c r="I2" s="16" t="s">
        <v>1105</v>
      </c>
    </row>
    <row r="3" customFormat="false" ht="23.85" hidden="false" customHeight="false" outlineLevel="0" collapsed="false">
      <c r="A3" s="11" t="s">
        <v>51</v>
      </c>
      <c r="B3" s="11" t="s">
        <v>52</v>
      </c>
      <c r="C3" s="11" t="s">
        <v>197</v>
      </c>
      <c r="D3" s="14" t="s">
        <v>1106</v>
      </c>
      <c r="E3" s="13" t="n">
        <v>18600</v>
      </c>
      <c r="F3" s="11" t="s">
        <v>1107</v>
      </c>
      <c r="G3" s="11" t="s">
        <v>1108</v>
      </c>
      <c r="H3" s="11" t="s">
        <v>1109</v>
      </c>
      <c r="I3" s="16" t="s">
        <v>1105</v>
      </c>
    </row>
    <row r="4" customFormat="false" ht="23.85" hidden="false" customHeight="false" outlineLevel="0" collapsed="false">
      <c r="A4" s="11" t="s">
        <v>51</v>
      </c>
      <c r="B4" s="11" t="s">
        <v>52</v>
      </c>
      <c r="C4" s="11" t="s">
        <v>197</v>
      </c>
      <c r="D4" s="14" t="s">
        <v>1106</v>
      </c>
      <c r="E4" s="13" t="n">
        <v>18600</v>
      </c>
      <c r="F4" s="11" t="s">
        <v>1107</v>
      </c>
      <c r="G4" s="11" t="s">
        <v>1110</v>
      </c>
      <c r="H4" s="11" t="s">
        <v>1109</v>
      </c>
      <c r="I4" s="16" t="s">
        <v>1105</v>
      </c>
    </row>
    <row r="5" customFormat="false" ht="15" hidden="false" customHeight="false" outlineLevel="0" collapsed="false">
      <c r="A5" s="11" t="s">
        <v>51</v>
      </c>
      <c r="B5" s="11" t="s">
        <v>52</v>
      </c>
      <c r="C5" s="11" t="s">
        <v>207</v>
      </c>
      <c r="D5" s="14" t="s">
        <v>1111</v>
      </c>
      <c r="E5" s="13" t="n">
        <v>13040</v>
      </c>
      <c r="F5" s="11" t="s">
        <v>1112</v>
      </c>
      <c r="G5" s="11" t="s">
        <v>1113</v>
      </c>
      <c r="H5" s="11" t="s">
        <v>1109</v>
      </c>
      <c r="I5" s="16" t="s">
        <v>1105</v>
      </c>
    </row>
    <row r="6" customFormat="false" ht="23.85" hidden="false" customHeight="false" outlineLevel="0" collapsed="false">
      <c r="A6" s="11" t="s">
        <v>51</v>
      </c>
      <c r="B6" s="11" t="s">
        <v>52</v>
      </c>
      <c r="C6" s="11" t="s">
        <v>207</v>
      </c>
      <c r="D6" s="14" t="s">
        <v>1114</v>
      </c>
      <c r="E6" s="13" t="n">
        <v>41900.51</v>
      </c>
      <c r="F6" s="11" t="s">
        <v>1107</v>
      </c>
      <c r="G6" s="11" t="s">
        <v>1115</v>
      </c>
      <c r="H6" s="11" t="s">
        <v>1104</v>
      </c>
      <c r="I6" s="16" t="s">
        <v>1105</v>
      </c>
    </row>
    <row r="7" customFormat="false" ht="15" hidden="false" customHeight="false" outlineLevel="0" collapsed="false">
      <c r="A7" s="11" t="s">
        <v>57</v>
      </c>
      <c r="B7" s="11" t="s">
        <v>58</v>
      </c>
      <c r="C7" s="11" t="s">
        <v>60</v>
      </c>
      <c r="D7" s="14" t="s">
        <v>61</v>
      </c>
      <c r="E7" s="13" t="n">
        <v>26640</v>
      </c>
      <c r="F7" s="11" t="s">
        <v>1107</v>
      </c>
      <c r="G7" s="11" t="s">
        <v>1116</v>
      </c>
      <c r="H7" s="11" t="s">
        <v>1109</v>
      </c>
      <c r="I7" s="16" t="s">
        <v>1105</v>
      </c>
    </row>
    <row r="8" customFormat="false" ht="23.85" hidden="false" customHeight="false" outlineLevel="0" collapsed="false">
      <c r="A8" s="11" t="s">
        <v>57</v>
      </c>
      <c r="B8" s="11" t="s">
        <v>58</v>
      </c>
      <c r="C8" s="11" t="s">
        <v>1117</v>
      </c>
      <c r="D8" s="14" t="s">
        <v>1118</v>
      </c>
      <c r="E8" s="13" t="n">
        <v>44900.3</v>
      </c>
      <c r="F8" s="11" t="s">
        <v>1107</v>
      </c>
      <c r="G8" s="11" t="s">
        <v>1119</v>
      </c>
      <c r="H8" s="11" t="s">
        <v>1104</v>
      </c>
      <c r="I8" s="16" t="s">
        <v>1105</v>
      </c>
    </row>
    <row r="9" customFormat="false" ht="15" hidden="false" customHeight="false" outlineLevel="0" collapsed="false">
      <c r="A9" s="11" t="s">
        <v>57</v>
      </c>
      <c r="B9" s="11" t="s">
        <v>58</v>
      </c>
      <c r="C9" s="11" t="s">
        <v>127</v>
      </c>
      <c r="D9" s="14" t="s">
        <v>1120</v>
      </c>
      <c r="E9" s="13" t="n">
        <v>75000</v>
      </c>
      <c r="F9" s="11" t="s">
        <v>1102</v>
      </c>
      <c r="G9" s="11" t="s">
        <v>1121</v>
      </c>
      <c r="H9" s="11" t="s">
        <v>1104</v>
      </c>
      <c r="I9" s="16" t="s">
        <v>1105</v>
      </c>
    </row>
    <row r="10" customFormat="false" ht="15" hidden="false" customHeight="false" outlineLevel="0" collapsed="false">
      <c r="A10" s="11" t="s">
        <v>57</v>
      </c>
      <c r="B10" s="11" t="s">
        <v>58</v>
      </c>
      <c r="C10" s="11" t="s">
        <v>207</v>
      </c>
      <c r="D10" s="14" t="s">
        <v>1120</v>
      </c>
      <c r="E10" s="13" t="n">
        <v>25000</v>
      </c>
      <c r="F10" s="11" t="s">
        <v>1102</v>
      </c>
      <c r="G10" s="11" t="s">
        <v>1122</v>
      </c>
      <c r="H10" s="11" t="s">
        <v>1104</v>
      </c>
      <c r="I10" s="16" t="s">
        <v>1105</v>
      </c>
    </row>
    <row r="11" customFormat="false" ht="23.85" hidden="false" customHeight="false" outlineLevel="0" collapsed="false">
      <c r="A11" s="11" t="s">
        <v>57</v>
      </c>
      <c r="B11" s="11" t="s">
        <v>58</v>
      </c>
      <c r="C11" s="11" t="s">
        <v>873</v>
      </c>
      <c r="D11" s="14" t="s">
        <v>1123</v>
      </c>
      <c r="E11" s="13" t="n">
        <v>41000</v>
      </c>
      <c r="F11" s="11" t="s">
        <v>1107</v>
      </c>
      <c r="G11" s="11" t="s">
        <v>1124</v>
      </c>
      <c r="H11" s="11" t="s">
        <v>1109</v>
      </c>
      <c r="I11" s="16" t="s">
        <v>1105</v>
      </c>
    </row>
    <row r="12" customFormat="false" ht="23.85" hidden="false" customHeight="false" outlineLevel="0" collapsed="false">
      <c r="A12" s="11" t="s">
        <v>62</v>
      </c>
      <c r="B12" s="11" t="s">
        <v>63</v>
      </c>
      <c r="C12" s="11" t="s">
        <v>65</v>
      </c>
      <c r="D12" s="14" t="s">
        <v>66</v>
      </c>
      <c r="E12" s="13" t="n">
        <v>6023.71</v>
      </c>
      <c r="F12" s="11" t="s">
        <v>1112</v>
      </c>
      <c r="G12" s="11" t="s">
        <v>1125</v>
      </c>
      <c r="H12" s="11" t="s">
        <v>1126</v>
      </c>
      <c r="I12" s="16" t="s">
        <v>1105</v>
      </c>
    </row>
    <row r="13" customFormat="false" ht="23.85" hidden="false" customHeight="false" outlineLevel="0" collapsed="false">
      <c r="A13" s="11" t="s">
        <v>62</v>
      </c>
      <c r="B13" s="11" t="s">
        <v>63</v>
      </c>
      <c r="C13" s="11" t="s">
        <v>241</v>
      </c>
      <c r="D13" s="14" t="s">
        <v>1127</v>
      </c>
      <c r="E13" s="13" t="n">
        <v>31851.84</v>
      </c>
      <c r="F13" s="11" t="s">
        <v>1112</v>
      </c>
      <c r="G13" s="11" t="s">
        <v>1128</v>
      </c>
      <c r="H13" s="11" t="s">
        <v>1109</v>
      </c>
      <c r="I13" s="16" t="s">
        <v>1105</v>
      </c>
    </row>
    <row r="14" customFormat="false" ht="23.85" hidden="false" customHeight="false" outlineLevel="0" collapsed="false">
      <c r="A14" s="11" t="s">
        <v>62</v>
      </c>
      <c r="B14" s="11" t="s">
        <v>63</v>
      </c>
      <c r="C14" s="11" t="s">
        <v>137</v>
      </c>
      <c r="D14" s="14" t="s">
        <v>1129</v>
      </c>
      <c r="E14" s="13" t="n">
        <v>19995</v>
      </c>
      <c r="F14" s="11" t="s">
        <v>1112</v>
      </c>
      <c r="G14" s="11" t="s">
        <v>1130</v>
      </c>
      <c r="H14" s="11" t="s">
        <v>1109</v>
      </c>
      <c r="I14" s="16" t="s">
        <v>1105</v>
      </c>
    </row>
    <row r="15" customFormat="false" ht="23.85" hidden="false" customHeight="false" outlineLevel="0" collapsed="false">
      <c r="A15" s="11" t="s">
        <v>62</v>
      </c>
      <c r="B15" s="11" t="s">
        <v>63</v>
      </c>
      <c r="C15" s="11" t="s">
        <v>60</v>
      </c>
      <c r="D15" s="14" t="s">
        <v>1131</v>
      </c>
      <c r="E15" s="13" t="n">
        <v>11400</v>
      </c>
      <c r="F15" s="11" t="s">
        <v>1107</v>
      </c>
      <c r="G15" s="11" t="s">
        <v>1132</v>
      </c>
      <c r="H15" s="11" t="s">
        <v>1133</v>
      </c>
      <c r="I15" s="16" t="s">
        <v>1105</v>
      </c>
    </row>
    <row r="16" customFormat="false" ht="23.85" hidden="false" customHeight="false" outlineLevel="0" collapsed="false">
      <c r="A16" s="11" t="s">
        <v>62</v>
      </c>
      <c r="B16" s="11" t="s">
        <v>63</v>
      </c>
      <c r="C16" s="11" t="s">
        <v>197</v>
      </c>
      <c r="D16" s="14" t="s">
        <v>1134</v>
      </c>
      <c r="E16" s="13" t="n">
        <v>17873.14</v>
      </c>
      <c r="F16" s="11" t="s">
        <v>1112</v>
      </c>
      <c r="G16" s="11" t="s">
        <v>1135</v>
      </c>
      <c r="H16" s="11" t="s">
        <v>1109</v>
      </c>
      <c r="I16" s="16" t="s">
        <v>1105</v>
      </c>
    </row>
    <row r="17" customFormat="false" ht="23.85" hidden="false" customHeight="false" outlineLevel="0" collapsed="false">
      <c r="A17" s="11" t="s">
        <v>67</v>
      </c>
      <c r="B17" s="11" t="s">
        <v>68</v>
      </c>
      <c r="C17" s="11" t="s">
        <v>70</v>
      </c>
      <c r="D17" s="14" t="s">
        <v>71</v>
      </c>
      <c r="E17" s="13" t="n">
        <v>8398.72</v>
      </c>
      <c r="F17" s="11" t="s">
        <v>1102</v>
      </c>
      <c r="G17" s="11" t="s">
        <v>1136</v>
      </c>
      <c r="H17" s="11" t="s">
        <v>1104</v>
      </c>
      <c r="I17" s="16" t="s">
        <v>1105</v>
      </c>
    </row>
    <row r="18" customFormat="false" ht="23.85" hidden="false" customHeight="false" outlineLevel="0" collapsed="false">
      <c r="A18" s="11" t="s">
        <v>67</v>
      </c>
      <c r="B18" s="11" t="s">
        <v>68</v>
      </c>
      <c r="C18" s="11" t="s">
        <v>1137</v>
      </c>
      <c r="D18" s="14" t="s">
        <v>1138</v>
      </c>
      <c r="E18" s="13" t="n">
        <v>60768</v>
      </c>
      <c r="F18" s="11" t="s">
        <v>1102</v>
      </c>
      <c r="G18" s="11" t="s">
        <v>1139</v>
      </c>
      <c r="H18" s="11" t="s">
        <v>1140</v>
      </c>
      <c r="I18" s="16" t="s">
        <v>1105</v>
      </c>
    </row>
    <row r="19" customFormat="false" ht="15" hidden="false" customHeight="false" outlineLevel="0" collapsed="false">
      <c r="A19" s="11" t="s">
        <v>67</v>
      </c>
      <c r="B19" s="11" t="s">
        <v>68</v>
      </c>
      <c r="C19" s="11" t="s">
        <v>380</v>
      </c>
      <c r="D19" s="14" t="s">
        <v>1141</v>
      </c>
      <c r="E19" s="13" t="n">
        <v>97652.62</v>
      </c>
      <c r="F19" s="11" t="s">
        <v>1102</v>
      </c>
      <c r="G19" s="11" t="s">
        <v>1142</v>
      </c>
      <c r="H19" s="11" t="s">
        <v>1109</v>
      </c>
      <c r="I19" s="16" t="s">
        <v>1105</v>
      </c>
    </row>
    <row r="20" customFormat="false" ht="23.85" hidden="false" customHeight="false" outlineLevel="0" collapsed="false">
      <c r="A20" s="11" t="s">
        <v>67</v>
      </c>
      <c r="B20" s="11" t="s">
        <v>68</v>
      </c>
      <c r="C20" s="11" t="s">
        <v>1143</v>
      </c>
      <c r="D20" s="14" t="s">
        <v>1144</v>
      </c>
      <c r="E20" s="13" t="n">
        <v>30804</v>
      </c>
      <c r="F20" s="11" t="s">
        <v>1112</v>
      </c>
      <c r="G20" s="11" t="s">
        <v>1145</v>
      </c>
      <c r="H20" s="11" t="s">
        <v>1146</v>
      </c>
      <c r="I20" s="16" t="s">
        <v>1105</v>
      </c>
    </row>
    <row r="21" customFormat="false" ht="23.85" hidden="false" customHeight="false" outlineLevel="0" collapsed="false">
      <c r="A21" s="11" t="s">
        <v>67</v>
      </c>
      <c r="B21" s="11" t="s">
        <v>68</v>
      </c>
      <c r="C21" s="11" t="s">
        <v>672</v>
      </c>
      <c r="D21" s="14" t="s">
        <v>1147</v>
      </c>
      <c r="E21" s="13" t="n">
        <v>205078.64</v>
      </c>
      <c r="F21" s="11" t="s">
        <v>1102</v>
      </c>
      <c r="G21" s="11" t="s">
        <v>1148</v>
      </c>
      <c r="H21" s="11" t="s">
        <v>1109</v>
      </c>
      <c r="I21" s="16" t="s">
        <v>1105</v>
      </c>
    </row>
    <row r="22" customFormat="false" ht="23.85" hidden="false" customHeight="false" outlineLevel="0" collapsed="false">
      <c r="A22" s="11" t="s">
        <v>72</v>
      </c>
      <c r="B22" s="11" t="s">
        <v>73</v>
      </c>
      <c r="C22" s="11" t="s">
        <v>75</v>
      </c>
      <c r="D22" s="14" t="s">
        <v>76</v>
      </c>
      <c r="E22" s="13" t="n">
        <v>19900</v>
      </c>
      <c r="F22" s="11" t="s">
        <v>1112</v>
      </c>
      <c r="G22" s="11" t="s">
        <v>1149</v>
      </c>
      <c r="H22" s="11" t="s">
        <v>1109</v>
      </c>
      <c r="I22" s="16" t="s">
        <v>1105</v>
      </c>
    </row>
    <row r="23" customFormat="false" ht="35.05" hidden="false" customHeight="false" outlineLevel="0" collapsed="false">
      <c r="A23" s="11" t="s">
        <v>72</v>
      </c>
      <c r="B23" s="11" t="s">
        <v>73</v>
      </c>
      <c r="C23" s="11" t="s">
        <v>127</v>
      </c>
      <c r="D23" s="14" t="s">
        <v>1150</v>
      </c>
      <c r="E23" s="13" t="n">
        <v>12696.39</v>
      </c>
      <c r="F23" s="11" t="s">
        <v>1112</v>
      </c>
      <c r="G23" s="11" t="s">
        <v>1151</v>
      </c>
      <c r="H23" s="11" t="s">
        <v>1126</v>
      </c>
      <c r="I23" s="16" t="s">
        <v>1105</v>
      </c>
    </row>
    <row r="24" customFormat="false" ht="23.85" hidden="false" customHeight="false" outlineLevel="0" collapsed="false">
      <c r="A24" s="11" t="s">
        <v>72</v>
      </c>
      <c r="B24" s="11" t="s">
        <v>73</v>
      </c>
      <c r="C24" s="11" t="s">
        <v>117</v>
      </c>
      <c r="D24" s="14" t="s">
        <v>1152</v>
      </c>
      <c r="E24" s="13" t="n">
        <v>7390.28</v>
      </c>
      <c r="F24" s="11" t="s">
        <v>1112</v>
      </c>
      <c r="G24" s="11" t="s">
        <v>1153</v>
      </c>
      <c r="H24" s="11" t="s">
        <v>1104</v>
      </c>
      <c r="I24" s="16" t="s">
        <v>1105</v>
      </c>
    </row>
    <row r="25" customFormat="false" ht="23.85" hidden="false" customHeight="false" outlineLevel="0" collapsed="false">
      <c r="A25" s="11" t="s">
        <v>72</v>
      </c>
      <c r="B25" s="11" t="s">
        <v>73</v>
      </c>
      <c r="C25" s="11" t="s">
        <v>1154</v>
      </c>
      <c r="D25" s="14" t="s">
        <v>1155</v>
      </c>
      <c r="E25" s="13" t="n">
        <v>19190</v>
      </c>
      <c r="F25" s="11" t="s">
        <v>1112</v>
      </c>
      <c r="G25" s="11" t="s">
        <v>1156</v>
      </c>
      <c r="H25" s="11" t="s">
        <v>1109</v>
      </c>
      <c r="I25" s="16" t="s">
        <v>1105</v>
      </c>
    </row>
    <row r="26" customFormat="false" ht="15" hidden="false" customHeight="false" outlineLevel="0" collapsed="false">
      <c r="A26" s="11" t="s">
        <v>72</v>
      </c>
      <c r="B26" s="11" t="s">
        <v>73</v>
      </c>
      <c r="C26" s="11" t="s">
        <v>1157</v>
      </c>
      <c r="D26" s="14" t="s">
        <v>1158</v>
      </c>
      <c r="E26" s="13" t="n">
        <v>5289</v>
      </c>
      <c r="F26" s="11" t="s">
        <v>1112</v>
      </c>
      <c r="G26" s="11" t="s">
        <v>1159</v>
      </c>
      <c r="H26" s="11" t="s">
        <v>1109</v>
      </c>
      <c r="I26" s="16" t="s">
        <v>1105</v>
      </c>
    </row>
    <row r="27" customFormat="false" ht="15" hidden="false" customHeight="false" outlineLevel="0" collapsed="false">
      <c r="A27" s="11" t="s">
        <v>77</v>
      </c>
      <c r="B27" s="11" t="s">
        <v>78</v>
      </c>
      <c r="C27" s="11" t="s">
        <v>80</v>
      </c>
      <c r="D27" s="14" t="s">
        <v>81</v>
      </c>
      <c r="E27" s="13" t="n">
        <v>6934.45</v>
      </c>
      <c r="F27" s="11" t="s">
        <v>1112</v>
      </c>
      <c r="G27" s="11" t="s">
        <v>1160</v>
      </c>
      <c r="H27" s="11" t="s">
        <v>1109</v>
      </c>
      <c r="I27" s="16" t="s">
        <v>1105</v>
      </c>
    </row>
    <row r="28" customFormat="false" ht="23.85" hidden="false" customHeight="false" outlineLevel="0" collapsed="false">
      <c r="A28" s="11" t="s">
        <v>77</v>
      </c>
      <c r="B28" s="11" t="s">
        <v>78</v>
      </c>
      <c r="C28" s="11" t="s">
        <v>137</v>
      </c>
      <c r="D28" s="14" t="s">
        <v>1161</v>
      </c>
      <c r="E28" s="13" t="n">
        <v>13720</v>
      </c>
      <c r="F28" s="11" t="s">
        <v>1112</v>
      </c>
      <c r="G28" s="11" t="s">
        <v>1162</v>
      </c>
      <c r="H28" s="11" t="s">
        <v>1109</v>
      </c>
      <c r="I28" s="16" t="s">
        <v>1105</v>
      </c>
    </row>
    <row r="29" customFormat="false" ht="15" hidden="false" customHeight="false" outlineLevel="0" collapsed="false">
      <c r="A29" s="11" t="s">
        <v>77</v>
      </c>
      <c r="B29" s="11" t="s">
        <v>78</v>
      </c>
      <c r="C29" s="11" t="s">
        <v>207</v>
      </c>
      <c r="D29" s="14" t="s">
        <v>1163</v>
      </c>
      <c r="E29" s="13" t="n">
        <v>19917.78</v>
      </c>
      <c r="F29" s="11" t="s">
        <v>1112</v>
      </c>
      <c r="G29" s="11" t="s">
        <v>1164</v>
      </c>
      <c r="H29" s="11" t="s">
        <v>1104</v>
      </c>
      <c r="I29" s="16" t="s">
        <v>1105</v>
      </c>
    </row>
    <row r="30" customFormat="false" ht="23.85" hidden="false" customHeight="false" outlineLevel="0" collapsed="false">
      <c r="A30" s="11" t="s">
        <v>77</v>
      </c>
      <c r="B30" s="11" t="s">
        <v>78</v>
      </c>
      <c r="C30" s="11" t="s">
        <v>207</v>
      </c>
      <c r="D30" s="14" t="s">
        <v>1165</v>
      </c>
      <c r="E30" s="13" t="n">
        <v>7017</v>
      </c>
      <c r="F30" s="11" t="s">
        <v>1112</v>
      </c>
      <c r="G30" s="11" t="s">
        <v>1166</v>
      </c>
      <c r="H30" s="11" t="s">
        <v>1104</v>
      </c>
      <c r="I30" s="16" t="s">
        <v>1105</v>
      </c>
    </row>
    <row r="31" customFormat="false" ht="15" hidden="false" customHeight="false" outlineLevel="0" collapsed="false">
      <c r="A31" s="11" t="s">
        <v>77</v>
      </c>
      <c r="B31" s="11" t="s">
        <v>78</v>
      </c>
      <c r="C31" s="11" t="s">
        <v>207</v>
      </c>
      <c r="D31" s="14" t="s">
        <v>1167</v>
      </c>
      <c r="E31" s="13" t="n">
        <v>9787.5</v>
      </c>
      <c r="F31" s="11" t="s">
        <v>1112</v>
      </c>
      <c r="G31" s="11" t="s">
        <v>1168</v>
      </c>
      <c r="H31" s="11" t="s">
        <v>1109</v>
      </c>
      <c r="I31" s="16" t="s">
        <v>1105</v>
      </c>
    </row>
    <row r="32" customFormat="false" ht="35.05" hidden="false" customHeight="false" outlineLevel="0" collapsed="false">
      <c r="A32" s="11" t="s">
        <v>82</v>
      </c>
      <c r="B32" s="11" t="s">
        <v>83</v>
      </c>
      <c r="C32" s="11" t="s">
        <v>85</v>
      </c>
      <c r="D32" s="14" t="s">
        <v>86</v>
      </c>
      <c r="E32" s="13" t="n">
        <v>9579</v>
      </c>
      <c r="F32" s="11" t="s">
        <v>1169</v>
      </c>
      <c r="G32" s="11" t="s">
        <v>1170</v>
      </c>
      <c r="H32" s="11" t="s">
        <v>1109</v>
      </c>
      <c r="I32" s="16" t="s">
        <v>1105</v>
      </c>
    </row>
    <row r="33" customFormat="false" ht="23.85" hidden="false" customHeight="false" outlineLevel="0" collapsed="false">
      <c r="A33" s="11" t="s">
        <v>82</v>
      </c>
      <c r="B33" s="11" t="s">
        <v>83</v>
      </c>
      <c r="C33" s="11" t="s">
        <v>75</v>
      </c>
      <c r="D33" s="14" t="s">
        <v>1171</v>
      </c>
      <c r="E33" s="13" t="n">
        <v>8245</v>
      </c>
      <c r="F33" s="11" t="s">
        <v>1169</v>
      </c>
      <c r="G33" s="11" t="s">
        <v>1172</v>
      </c>
      <c r="H33" s="11" t="s">
        <v>1109</v>
      </c>
      <c r="I33" s="16" t="s">
        <v>1105</v>
      </c>
    </row>
    <row r="34" customFormat="false" ht="23.85" hidden="false" customHeight="false" outlineLevel="0" collapsed="false">
      <c r="A34" s="11" t="s">
        <v>82</v>
      </c>
      <c r="B34" s="11" t="s">
        <v>83</v>
      </c>
      <c r="C34" s="11" t="s">
        <v>568</v>
      </c>
      <c r="D34" s="14" t="s">
        <v>1173</v>
      </c>
      <c r="E34" s="13" t="n">
        <v>17201.49</v>
      </c>
      <c r="F34" s="11" t="s">
        <v>1102</v>
      </c>
      <c r="G34" s="11" t="s">
        <v>1174</v>
      </c>
      <c r="H34" s="11" t="s">
        <v>1126</v>
      </c>
      <c r="I34" s="16" t="s">
        <v>1105</v>
      </c>
    </row>
    <row r="35" customFormat="false" ht="35.05" hidden="false" customHeight="false" outlineLevel="0" collapsed="false">
      <c r="A35" s="11" t="s">
        <v>82</v>
      </c>
      <c r="B35" s="11" t="s">
        <v>83</v>
      </c>
      <c r="C35" s="11" t="s">
        <v>500</v>
      </c>
      <c r="D35" s="14" t="s">
        <v>1175</v>
      </c>
      <c r="E35" s="13" t="n">
        <v>6600</v>
      </c>
      <c r="F35" s="11" t="s">
        <v>1169</v>
      </c>
      <c r="G35" s="11" t="s">
        <v>1176</v>
      </c>
      <c r="H35" s="11" t="s">
        <v>1109</v>
      </c>
      <c r="I35" s="16" t="s">
        <v>1105</v>
      </c>
    </row>
    <row r="36" customFormat="false" ht="23.85" hidden="false" customHeight="false" outlineLevel="0" collapsed="false">
      <c r="A36" s="11" t="s">
        <v>82</v>
      </c>
      <c r="B36" s="11" t="s">
        <v>83</v>
      </c>
      <c r="C36" s="11" t="s">
        <v>1177</v>
      </c>
      <c r="D36" s="14" t="s">
        <v>1178</v>
      </c>
      <c r="E36" s="13" t="n">
        <v>182873</v>
      </c>
      <c r="F36" s="11" t="s">
        <v>1112</v>
      </c>
      <c r="G36" s="11" t="s">
        <v>1179</v>
      </c>
      <c r="H36" s="11" t="s">
        <v>1109</v>
      </c>
      <c r="I36" s="16" t="s">
        <v>1105</v>
      </c>
    </row>
    <row r="37" customFormat="false" ht="23.85" hidden="false" customHeight="false" outlineLevel="0" collapsed="false">
      <c r="A37" s="11" t="s">
        <v>87</v>
      </c>
      <c r="B37" s="11" t="s">
        <v>88</v>
      </c>
      <c r="C37" s="11" t="s">
        <v>90</v>
      </c>
      <c r="D37" s="14" t="s">
        <v>91</v>
      </c>
      <c r="E37" s="13" t="n">
        <v>118300</v>
      </c>
      <c r="F37" s="11" t="s">
        <v>1102</v>
      </c>
      <c r="G37" s="11" t="s">
        <v>1180</v>
      </c>
      <c r="H37" s="11" t="s">
        <v>1146</v>
      </c>
      <c r="I37" s="16" t="s">
        <v>1105</v>
      </c>
    </row>
    <row r="38" customFormat="false" ht="23.85" hidden="false" customHeight="false" outlineLevel="0" collapsed="false">
      <c r="A38" s="11" t="s">
        <v>87</v>
      </c>
      <c r="B38" s="11" t="s">
        <v>88</v>
      </c>
      <c r="C38" s="11" t="s">
        <v>90</v>
      </c>
      <c r="D38" s="14" t="s">
        <v>1181</v>
      </c>
      <c r="E38" s="13" t="n">
        <v>498889.86</v>
      </c>
      <c r="F38" s="11" t="s">
        <v>1102</v>
      </c>
      <c r="G38" s="11" t="s">
        <v>1182</v>
      </c>
      <c r="H38" s="11" t="s">
        <v>1109</v>
      </c>
      <c r="I38" s="16" t="s">
        <v>1105</v>
      </c>
    </row>
    <row r="39" customFormat="false" ht="15" hidden="false" customHeight="false" outlineLevel="0" collapsed="false">
      <c r="A39" s="11" t="s">
        <v>87</v>
      </c>
      <c r="B39" s="11" t="s">
        <v>88</v>
      </c>
      <c r="C39" s="11" t="s">
        <v>505</v>
      </c>
      <c r="D39" s="14" t="s">
        <v>1183</v>
      </c>
      <c r="E39" s="13" t="n">
        <v>25000</v>
      </c>
      <c r="F39" s="11" t="s">
        <v>1107</v>
      </c>
      <c r="G39" s="11" t="s">
        <v>1184</v>
      </c>
      <c r="H39" s="11" t="s">
        <v>1146</v>
      </c>
      <c r="I39" s="16" t="s">
        <v>1105</v>
      </c>
    </row>
    <row r="40" customFormat="false" ht="23.85" hidden="false" customHeight="false" outlineLevel="0" collapsed="false">
      <c r="A40" s="11" t="s">
        <v>87</v>
      </c>
      <c r="B40" s="11" t="s">
        <v>88</v>
      </c>
      <c r="C40" s="11" t="s">
        <v>343</v>
      </c>
      <c r="D40" s="14" t="s">
        <v>1185</v>
      </c>
      <c r="E40" s="13" t="n">
        <v>7700</v>
      </c>
      <c r="F40" s="11" t="s">
        <v>1107</v>
      </c>
      <c r="G40" s="11" t="s">
        <v>1186</v>
      </c>
      <c r="H40" s="11" t="s">
        <v>1187</v>
      </c>
      <c r="I40" s="16" t="s">
        <v>1105</v>
      </c>
    </row>
    <row r="41" customFormat="false" ht="15" hidden="false" customHeight="false" outlineLevel="0" collapsed="false">
      <c r="A41" s="11" t="s">
        <v>87</v>
      </c>
      <c r="B41" s="11" t="s">
        <v>88</v>
      </c>
      <c r="C41" s="11" t="s">
        <v>365</v>
      </c>
      <c r="D41" s="14" t="s">
        <v>1188</v>
      </c>
      <c r="E41" s="13" t="n">
        <v>73600</v>
      </c>
      <c r="F41" s="11" t="s">
        <v>1107</v>
      </c>
      <c r="G41" s="11" t="s">
        <v>1189</v>
      </c>
      <c r="H41" s="11" t="s">
        <v>1146</v>
      </c>
      <c r="I41" s="16" t="s">
        <v>1105</v>
      </c>
    </row>
    <row r="42" customFormat="false" ht="23.85" hidden="false" customHeight="false" outlineLevel="0" collapsed="false">
      <c r="A42" s="11" t="s">
        <v>92</v>
      </c>
      <c r="B42" s="11" t="s">
        <v>93</v>
      </c>
      <c r="C42" s="11" t="s">
        <v>95</v>
      </c>
      <c r="D42" s="14" t="s">
        <v>96</v>
      </c>
      <c r="E42" s="13" t="n">
        <v>46851.34</v>
      </c>
      <c r="F42" s="11" t="s">
        <v>1112</v>
      </c>
      <c r="G42" s="11" t="s">
        <v>1190</v>
      </c>
      <c r="H42" s="11" t="s">
        <v>1146</v>
      </c>
      <c r="I42" s="16" t="s">
        <v>1105</v>
      </c>
    </row>
    <row r="43" customFormat="false" ht="15" hidden="false" customHeight="false" outlineLevel="0" collapsed="false">
      <c r="A43" s="11" t="s">
        <v>92</v>
      </c>
      <c r="B43" s="11" t="s">
        <v>93</v>
      </c>
      <c r="C43" s="11" t="s">
        <v>282</v>
      </c>
      <c r="D43" s="14" t="s">
        <v>1191</v>
      </c>
      <c r="E43" s="13" t="n">
        <v>11900</v>
      </c>
      <c r="F43" s="11" t="s">
        <v>1112</v>
      </c>
      <c r="G43" s="11" t="s">
        <v>1192</v>
      </c>
      <c r="H43" s="11" t="s">
        <v>1109</v>
      </c>
      <c r="I43" s="16" t="s">
        <v>1105</v>
      </c>
    </row>
    <row r="44" customFormat="false" ht="23.85" hidden="false" customHeight="false" outlineLevel="0" collapsed="false">
      <c r="A44" s="11" t="s">
        <v>92</v>
      </c>
      <c r="B44" s="11" t="s">
        <v>93</v>
      </c>
      <c r="C44" s="11" t="s">
        <v>1193</v>
      </c>
      <c r="D44" s="14" t="s">
        <v>1194</v>
      </c>
      <c r="E44" s="13" t="n">
        <v>46630</v>
      </c>
      <c r="F44" s="11" t="s">
        <v>1102</v>
      </c>
      <c r="G44" s="11" t="s">
        <v>1195</v>
      </c>
      <c r="H44" s="11" t="s">
        <v>1146</v>
      </c>
      <c r="I44" s="16" t="s">
        <v>1105</v>
      </c>
    </row>
    <row r="45" customFormat="false" ht="15" hidden="false" customHeight="false" outlineLevel="0" collapsed="false">
      <c r="A45" s="11" t="s">
        <v>92</v>
      </c>
      <c r="B45" s="11" t="s">
        <v>93</v>
      </c>
      <c r="C45" s="11" t="s">
        <v>169</v>
      </c>
      <c r="D45" s="14" t="s">
        <v>1196</v>
      </c>
      <c r="E45" s="13" t="n">
        <v>19710</v>
      </c>
      <c r="F45" s="11" t="s">
        <v>1112</v>
      </c>
      <c r="G45" s="11" t="s">
        <v>1197</v>
      </c>
      <c r="H45" s="11" t="s">
        <v>1109</v>
      </c>
      <c r="I45" s="16" t="s">
        <v>1105</v>
      </c>
    </row>
    <row r="46" customFormat="false" ht="15" hidden="false" customHeight="false" outlineLevel="0" collapsed="false">
      <c r="A46" s="11" t="s">
        <v>92</v>
      </c>
      <c r="B46" s="11" t="s">
        <v>93</v>
      </c>
      <c r="C46" s="11" t="s">
        <v>1198</v>
      </c>
      <c r="D46" s="14" t="s">
        <v>1199</v>
      </c>
      <c r="E46" s="13" t="n">
        <v>377310.25</v>
      </c>
      <c r="F46" s="11" t="s">
        <v>1102</v>
      </c>
      <c r="G46" s="11" t="s">
        <v>1142</v>
      </c>
      <c r="H46" s="11" t="s">
        <v>1109</v>
      </c>
      <c r="I46" s="16" t="s">
        <v>1105</v>
      </c>
    </row>
    <row r="47" customFormat="false" ht="23.85" hidden="false" customHeight="false" outlineLevel="0" collapsed="false">
      <c r="A47" s="11" t="s">
        <v>97</v>
      </c>
      <c r="B47" s="11" t="s">
        <v>98</v>
      </c>
      <c r="C47" s="11" t="s">
        <v>100</v>
      </c>
      <c r="D47" s="14" t="s">
        <v>101</v>
      </c>
      <c r="E47" s="13" t="n">
        <v>36164.43</v>
      </c>
      <c r="F47" s="11" t="s">
        <v>1107</v>
      </c>
      <c r="G47" s="11" t="s">
        <v>1103</v>
      </c>
      <c r="H47" s="11" t="s">
        <v>1104</v>
      </c>
      <c r="I47" s="16" t="s">
        <v>1105</v>
      </c>
    </row>
    <row r="48" customFormat="false" ht="23.85" hidden="false" customHeight="false" outlineLevel="0" collapsed="false">
      <c r="A48" s="11" t="s">
        <v>97</v>
      </c>
      <c r="B48" s="11" t="s">
        <v>98</v>
      </c>
      <c r="C48" s="11" t="s">
        <v>380</v>
      </c>
      <c r="D48" s="14" t="s">
        <v>1200</v>
      </c>
      <c r="E48" s="13" t="n">
        <v>17604.6</v>
      </c>
      <c r="F48" s="11" t="s">
        <v>1112</v>
      </c>
      <c r="G48" s="11" t="s">
        <v>1201</v>
      </c>
      <c r="H48" s="11" t="s">
        <v>1104</v>
      </c>
      <c r="I48" s="16" t="s">
        <v>1105</v>
      </c>
    </row>
    <row r="49" customFormat="false" ht="15" hidden="false" customHeight="false" outlineLevel="0" collapsed="false">
      <c r="A49" s="11" t="s">
        <v>97</v>
      </c>
      <c r="B49" s="11" t="s">
        <v>98</v>
      </c>
      <c r="C49" s="11" t="s">
        <v>1202</v>
      </c>
      <c r="D49" s="14" t="s">
        <v>1203</v>
      </c>
      <c r="E49" s="13" t="n">
        <v>23824.89</v>
      </c>
      <c r="F49" s="11" t="s">
        <v>1107</v>
      </c>
      <c r="G49" s="11" t="s">
        <v>1204</v>
      </c>
      <c r="H49" s="11" t="s">
        <v>1109</v>
      </c>
      <c r="I49" s="16" t="s">
        <v>1105</v>
      </c>
    </row>
    <row r="50" customFormat="false" ht="35.05" hidden="false" customHeight="false" outlineLevel="0" collapsed="false">
      <c r="A50" s="11" t="s">
        <v>97</v>
      </c>
      <c r="B50" s="11" t="s">
        <v>98</v>
      </c>
      <c r="C50" s="11" t="s">
        <v>410</v>
      </c>
      <c r="D50" s="14" t="s">
        <v>1205</v>
      </c>
      <c r="E50" s="13" t="n">
        <v>44078.8</v>
      </c>
      <c r="F50" s="11" t="s">
        <v>1107</v>
      </c>
      <c r="G50" s="11" t="s">
        <v>1206</v>
      </c>
      <c r="H50" s="11" t="s">
        <v>1104</v>
      </c>
      <c r="I50" s="16" t="s">
        <v>1105</v>
      </c>
    </row>
    <row r="51" customFormat="false" ht="15" hidden="false" customHeight="false" outlineLevel="0" collapsed="false">
      <c r="A51" s="11" t="s">
        <v>97</v>
      </c>
      <c r="B51" s="11" t="s">
        <v>98</v>
      </c>
      <c r="C51" s="11" t="s">
        <v>751</v>
      </c>
      <c r="D51" s="14" t="s">
        <v>1207</v>
      </c>
      <c r="E51" s="13" t="n">
        <v>39287.8</v>
      </c>
      <c r="F51" s="11" t="s">
        <v>1107</v>
      </c>
      <c r="G51" s="11" t="s">
        <v>1208</v>
      </c>
      <c r="H51" s="11" t="s">
        <v>1109</v>
      </c>
      <c r="I51" s="16" t="s">
        <v>1105</v>
      </c>
    </row>
    <row r="52" customFormat="false" ht="23.85" hidden="false" customHeight="false" outlineLevel="0" collapsed="false">
      <c r="A52" s="11" t="s">
        <v>102</v>
      </c>
      <c r="B52" s="11" t="s">
        <v>103</v>
      </c>
      <c r="C52" s="11" t="s">
        <v>90</v>
      </c>
      <c r="D52" s="14" t="s">
        <v>105</v>
      </c>
      <c r="E52" s="13" t="n">
        <v>14815</v>
      </c>
      <c r="F52" s="11" t="s">
        <v>1169</v>
      </c>
      <c r="G52" s="11" t="s">
        <v>492</v>
      </c>
      <c r="H52" s="11" t="s">
        <v>1187</v>
      </c>
      <c r="I52" s="16" t="s">
        <v>1105</v>
      </c>
    </row>
    <row r="53" customFormat="false" ht="23.85" hidden="false" customHeight="false" outlineLevel="0" collapsed="false">
      <c r="A53" s="11" t="s">
        <v>102</v>
      </c>
      <c r="B53" s="11" t="s">
        <v>103</v>
      </c>
      <c r="C53" s="11" t="s">
        <v>1154</v>
      </c>
      <c r="D53" s="14" t="s">
        <v>1209</v>
      </c>
      <c r="E53" s="13" t="n">
        <v>71220.81</v>
      </c>
      <c r="F53" s="11" t="s">
        <v>1102</v>
      </c>
      <c r="G53" s="11" t="s">
        <v>1142</v>
      </c>
      <c r="H53" s="11" t="s">
        <v>1109</v>
      </c>
      <c r="I53" s="16" t="s">
        <v>1105</v>
      </c>
    </row>
    <row r="54" customFormat="false" ht="23.85" hidden="false" customHeight="false" outlineLevel="0" collapsed="false">
      <c r="A54" s="11" t="s">
        <v>102</v>
      </c>
      <c r="B54" s="11" t="s">
        <v>103</v>
      </c>
      <c r="C54" s="11" t="s">
        <v>100</v>
      </c>
      <c r="D54" s="14" t="s">
        <v>1210</v>
      </c>
      <c r="E54" s="13" t="n">
        <v>13148</v>
      </c>
      <c r="F54" s="11" t="s">
        <v>1112</v>
      </c>
      <c r="G54" s="11" t="s">
        <v>1211</v>
      </c>
      <c r="H54" s="11" t="s">
        <v>1109</v>
      </c>
      <c r="I54" s="16" t="s">
        <v>1105</v>
      </c>
    </row>
    <row r="55" customFormat="false" ht="23.85" hidden="false" customHeight="false" outlineLevel="0" collapsed="false">
      <c r="A55" s="11" t="s">
        <v>102</v>
      </c>
      <c r="B55" s="11" t="s">
        <v>103</v>
      </c>
      <c r="C55" s="11" t="s">
        <v>1212</v>
      </c>
      <c r="D55" s="14" t="s">
        <v>1213</v>
      </c>
      <c r="E55" s="13" t="n">
        <v>11930</v>
      </c>
      <c r="F55" s="11" t="s">
        <v>1112</v>
      </c>
      <c r="G55" s="11" t="s">
        <v>1214</v>
      </c>
      <c r="H55" s="11" t="s">
        <v>1109</v>
      </c>
      <c r="I55" s="16" t="s">
        <v>1105</v>
      </c>
    </row>
    <row r="56" customFormat="false" ht="23.85" hidden="false" customHeight="false" outlineLevel="0" collapsed="false">
      <c r="A56" s="11" t="s">
        <v>102</v>
      </c>
      <c r="B56" s="11" t="s">
        <v>103</v>
      </c>
      <c r="C56" s="11" t="s">
        <v>1212</v>
      </c>
      <c r="D56" s="14" t="s">
        <v>1215</v>
      </c>
      <c r="E56" s="13" t="n">
        <v>67717.14</v>
      </c>
      <c r="F56" s="11" t="s">
        <v>1102</v>
      </c>
      <c r="G56" s="11" t="s">
        <v>1216</v>
      </c>
      <c r="H56" s="11" t="s">
        <v>1109</v>
      </c>
      <c r="I56" s="16" t="s">
        <v>1105</v>
      </c>
    </row>
    <row r="57" customFormat="false" ht="15" hidden="false" customHeight="false" outlineLevel="0" collapsed="false">
      <c r="A57" s="11" t="s">
        <v>106</v>
      </c>
      <c r="B57" s="11" t="s">
        <v>107</v>
      </c>
      <c r="C57" s="11" t="s">
        <v>100</v>
      </c>
      <c r="D57" s="14" t="s">
        <v>109</v>
      </c>
      <c r="E57" s="13" t="n">
        <v>78421.84</v>
      </c>
      <c r="F57" s="11" t="s">
        <v>1107</v>
      </c>
      <c r="G57" s="11" t="s">
        <v>1217</v>
      </c>
      <c r="H57" s="11" t="s">
        <v>1104</v>
      </c>
      <c r="I57" s="16" t="s">
        <v>1105</v>
      </c>
    </row>
    <row r="58" customFormat="false" ht="15" hidden="false" customHeight="false" outlineLevel="0" collapsed="false">
      <c r="A58" s="11" t="s">
        <v>106</v>
      </c>
      <c r="B58" s="11" t="s">
        <v>107</v>
      </c>
      <c r="C58" s="11" t="s">
        <v>471</v>
      </c>
      <c r="D58" s="14" t="s">
        <v>1218</v>
      </c>
      <c r="E58" s="13" t="n">
        <v>23450</v>
      </c>
      <c r="F58" s="11" t="s">
        <v>1107</v>
      </c>
      <c r="G58" s="11" t="s">
        <v>1219</v>
      </c>
      <c r="H58" s="11" t="s">
        <v>1109</v>
      </c>
      <c r="I58" s="16" t="s">
        <v>1105</v>
      </c>
    </row>
    <row r="59" customFormat="false" ht="15" hidden="false" customHeight="false" outlineLevel="0" collapsed="false">
      <c r="A59" s="11" t="s">
        <v>106</v>
      </c>
      <c r="B59" s="11" t="s">
        <v>107</v>
      </c>
      <c r="C59" s="11" t="s">
        <v>902</v>
      </c>
      <c r="D59" s="14" t="s">
        <v>1220</v>
      </c>
      <c r="E59" s="13" t="n">
        <v>59360</v>
      </c>
      <c r="F59" s="11" t="s">
        <v>1107</v>
      </c>
      <c r="G59" s="11" t="s">
        <v>1221</v>
      </c>
      <c r="H59" s="11" t="s">
        <v>1133</v>
      </c>
      <c r="I59" s="16" t="s">
        <v>1105</v>
      </c>
    </row>
    <row r="60" customFormat="false" ht="15" hidden="false" customHeight="false" outlineLevel="0" collapsed="false">
      <c r="A60" s="11" t="s">
        <v>106</v>
      </c>
      <c r="B60" s="11" t="s">
        <v>107</v>
      </c>
      <c r="C60" s="11" t="s">
        <v>1222</v>
      </c>
      <c r="D60" s="14" t="s">
        <v>1223</v>
      </c>
      <c r="E60" s="13" t="n">
        <v>22480</v>
      </c>
      <c r="F60" s="11" t="s">
        <v>1112</v>
      </c>
      <c r="G60" s="11" t="s">
        <v>1224</v>
      </c>
      <c r="H60" s="11" t="s">
        <v>1109</v>
      </c>
      <c r="I60" s="16" t="s">
        <v>1105</v>
      </c>
    </row>
    <row r="61" customFormat="false" ht="15" hidden="false" customHeight="false" outlineLevel="0" collapsed="false">
      <c r="A61" s="11" t="s">
        <v>106</v>
      </c>
      <c r="B61" s="11" t="s">
        <v>107</v>
      </c>
      <c r="C61" s="11" t="s">
        <v>292</v>
      </c>
      <c r="D61" s="14" t="s">
        <v>1225</v>
      </c>
      <c r="E61" s="13" t="n">
        <v>88954.24</v>
      </c>
      <c r="F61" s="11" t="s">
        <v>1107</v>
      </c>
      <c r="G61" s="11" t="s">
        <v>1226</v>
      </c>
      <c r="H61" s="11" t="s">
        <v>1104</v>
      </c>
      <c r="I61" s="16" t="s">
        <v>1105</v>
      </c>
    </row>
    <row r="62" customFormat="false" ht="23.85" hidden="false" customHeight="false" outlineLevel="0" collapsed="false">
      <c r="A62" s="11" t="s">
        <v>110</v>
      </c>
      <c r="B62" s="11" t="s">
        <v>111</v>
      </c>
      <c r="C62" s="11" t="s">
        <v>54</v>
      </c>
      <c r="D62" s="14" t="s">
        <v>113</v>
      </c>
      <c r="E62" s="13" t="n">
        <v>16300</v>
      </c>
      <c r="F62" s="11" t="s">
        <v>1112</v>
      </c>
      <c r="G62" s="11" t="s">
        <v>1227</v>
      </c>
      <c r="H62" s="11" t="s">
        <v>1146</v>
      </c>
      <c r="I62" s="16" t="s">
        <v>1105</v>
      </c>
    </row>
    <row r="63" customFormat="false" ht="23.85" hidden="false" customHeight="false" outlineLevel="0" collapsed="false">
      <c r="A63" s="11" t="s">
        <v>110</v>
      </c>
      <c r="B63" s="11" t="s">
        <v>111</v>
      </c>
      <c r="C63" s="11" t="s">
        <v>65</v>
      </c>
      <c r="D63" s="14" t="s">
        <v>1228</v>
      </c>
      <c r="E63" s="13" t="n">
        <v>68850</v>
      </c>
      <c r="F63" s="11" t="s">
        <v>1107</v>
      </c>
      <c r="G63" s="11" t="s">
        <v>1229</v>
      </c>
      <c r="H63" s="11" t="s">
        <v>1109</v>
      </c>
      <c r="I63" s="16" t="s">
        <v>1105</v>
      </c>
    </row>
    <row r="64" customFormat="false" ht="23.85" hidden="false" customHeight="false" outlineLevel="0" collapsed="false">
      <c r="A64" s="11" t="s">
        <v>110</v>
      </c>
      <c r="B64" s="11" t="s">
        <v>111</v>
      </c>
      <c r="C64" s="11" t="s">
        <v>179</v>
      </c>
      <c r="D64" s="14" t="s">
        <v>1230</v>
      </c>
      <c r="E64" s="13" t="n">
        <v>13188</v>
      </c>
      <c r="F64" s="11" t="s">
        <v>1107</v>
      </c>
      <c r="G64" s="11" t="s">
        <v>1231</v>
      </c>
      <c r="H64" s="11" t="s">
        <v>1109</v>
      </c>
      <c r="I64" s="16" t="s">
        <v>1105</v>
      </c>
    </row>
    <row r="65" customFormat="false" ht="23.85" hidden="false" customHeight="false" outlineLevel="0" collapsed="false">
      <c r="A65" s="11" t="s">
        <v>110</v>
      </c>
      <c r="B65" s="11" t="s">
        <v>111</v>
      </c>
      <c r="C65" s="11" t="s">
        <v>95</v>
      </c>
      <c r="D65" s="14" t="s">
        <v>1232</v>
      </c>
      <c r="E65" s="13" t="n">
        <v>19200</v>
      </c>
      <c r="F65" s="11" t="s">
        <v>1112</v>
      </c>
      <c r="G65" s="11" t="s">
        <v>1233</v>
      </c>
      <c r="H65" s="11" t="s">
        <v>1109</v>
      </c>
      <c r="I65" s="16" t="s">
        <v>1105</v>
      </c>
    </row>
    <row r="66" customFormat="false" ht="15" hidden="false" customHeight="false" outlineLevel="0" collapsed="false">
      <c r="A66" s="11" t="s">
        <v>110</v>
      </c>
      <c r="B66" s="11" t="s">
        <v>111</v>
      </c>
      <c r="C66" s="11" t="s">
        <v>100</v>
      </c>
      <c r="D66" s="14" t="s">
        <v>1234</v>
      </c>
      <c r="E66" s="13" t="n">
        <v>74000</v>
      </c>
      <c r="F66" s="11" t="s">
        <v>1107</v>
      </c>
      <c r="G66" s="11" t="s">
        <v>1235</v>
      </c>
      <c r="H66" s="11" t="s">
        <v>1146</v>
      </c>
      <c r="I66" s="16" t="s">
        <v>1105</v>
      </c>
    </row>
    <row r="67" customFormat="false" ht="15" hidden="false" customHeight="false" outlineLevel="0" collapsed="false">
      <c r="A67" s="11" t="s">
        <v>114</v>
      </c>
      <c r="B67" s="11" t="s">
        <v>115</v>
      </c>
      <c r="C67" s="11" t="s">
        <v>117</v>
      </c>
      <c r="D67" s="14" t="s">
        <v>118</v>
      </c>
      <c r="E67" s="13" t="n">
        <v>15450</v>
      </c>
      <c r="F67" s="11" t="s">
        <v>1112</v>
      </c>
      <c r="G67" s="11" t="s">
        <v>1236</v>
      </c>
      <c r="H67" s="11" t="s">
        <v>1109</v>
      </c>
      <c r="I67" s="16" t="s">
        <v>1105</v>
      </c>
    </row>
    <row r="68" customFormat="false" ht="15" hidden="false" customHeight="false" outlineLevel="0" collapsed="false">
      <c r="A68" s="11" t="s">
        <v>114</v>
      </c>
      <c r="B68" s="11" t="s">
        <v>115</v>
      </c>
      <c r="C68" s="11" t="s">
        <v>873</v>
      </c>
      <c r="D68" s="14" t="s">
        <v>1237</v>
      </c>
      <c r="E68" s="13" t="n">
        <v>8700</v>
      </c>
      <c r="F68" s="11" t="s">
        <v>1169</v>
      </c>
      <c r="G68" s="11" t="s">
        <v>1238</v>
      </c>
      <c r="H68" s="11" t="s">
        <v>1104</v>
      </c>
      <c r="I68" s="16" t="s">
        <v>1105</v>
      </c>
    </row>
    <row r="69" customFormat="false" ht="23.85" hidden="false" customHeight="false" outlineLevel="0" collapsed="false">
      <c r="A69" s="11" t="s">
        <v>114</v>
      </c>
      <c r="B69" s="11" t="s">
        <v>115</v>
      </c>
      <c r="C69" s="11" t="s">
        <v>1212</v>
      </c>
      <c r="D69" s="14" t="s">
        <v>71</v>
      </c>
      <c r="E69" s="13" t="n">
        <v>8398.72</v>
      </c>
      <c r="F69" s="11" t="s">
        <v>1102</v>
      </c>
      <c r="G69" s="11" t="s">
        <v>1136</v>
      </c>
      <c r="H69" s="11" t="s">
        <v>1104</v>
      </c>
      <c r="I69" s="16" t="s">
        <v>1105</v>
      </c>
    </row>
    <row r="70" customFormat="false" ht="15" hidden="false" customHeight="false" outlineLevel="0" collapsed="false">
      <c r="A70" s="11" t="s">
        <v>114</v>
      </c>
      <c r="B70" s="11" t="s">
        <v>115</v>
      </c>
      <c r="C70" s="11" t="s">
        <v>461</v>
      </c>
      <c r="D70" s="14" t="s">
        <v>1239</v>
      </c>
      <c r="E70" s="13" t="n">
        <v>57067.5</v>
      </c>
      <c r="F70" s="11" t="s">
        <v>1112</v>
      </c>
      <c r="G70" s="11" t="s">
        <v>1240</v>
      </c>
      <c r="H70" s="11" t="s">
        <v>1109</v>
      </c>
      <c r="I70" s="16" t="s">
        <v>1105</v>
      </c>
    </row>
    <row r="71" customFormat="false" ht="15" hidden="false" customHeight="false" outlineLevel="0" collapsed="false">
      <c r="A71" s="11" t="s">
        <v>114</v>
      </c>
      <c r="B71" s="11" t="s">
        <v>115</v>
      </c>
      <c r="C71" s="11" t="s">
        <v>461</v>
      </c>
      <c r="D71" s="14" t="s">
        <v>1241</v>
      </c>
      <c r="E71" s="13" t="n">
        <v>55420.47</v>
      </c>
      <c r="F71" s="11" t="s">
        <v>1112</v>
      </c>
      <c r="G71" s="11" t="s">
        <v>1242</v>
      </c>
      <c r="H71" s="11" t="s">
        <v>1109</v>
      </c>
      <c r="I71" s="16" t="s">
        <v>1105</v>
      </c>
    </row>
    <row r="72" customFormat="false" ht="15" hidden="false" customHeight="false" outlineLevel="0" collapsed="false">
      <c r="A72" s="11" t="s">
        <v>119</v>
      </c>
      <c r="B72" s="11" t="s">
        <v>120</v>
      </c>
      <c r="C72" s="11" t="s">
        <v>122</v>
      </c>
      <c r="D72" s="14" t="s">
        <v>123</v>
      </c>
      <c r="E72" s="13" t="n">
        <v>7145.02</v>
      </c>
      <c r="F72" s="11" t="s">
        <v>1107</v>
      </c>
      <c r="G72" s="11" t="s">
        <v>1243</v>
      </c>
      <c r="H72" s="11" t="s">
        <v>1109</v>
      </c>
      <c r="I72" s="16" t="s">
        <v>1105</v>
      </c>
    </row>
    <row r="73" customFormat="false" ht="15" hidden="false" customHeight="false" outlineLevel="0" collapsed="false">
      <c r="A73" s="11" t="s">
        <v>119</v>
      </c>
      <c r="B73" s="11" t="s">
        <v>120</v>
      </c>
      <c r="C73" s="11" t="s">
        <v>476</v>
      </c>
      <c r="D73" s="14" t="s">
        <v>1244</v>
      </c>
      <c r="E73" s="13" t="n">
        <v>64595</v>
      </c>
      <c r="F73" s="11" t="s">
        <v>1102</v>
      </c>
      <c r="G73" s="11" t="s">
        <v>1245</v>
      </c>
      <c r="H73" s="11" t="s">
        <v>1187</v>
      </c>
      <c r="I73" s="16" t="s">
        <v>1105</v>
      </c>
    </row>
    <row r="74" customFormat="false" ht="23.85" hidden="false" customHeight="false" outlineLevel="0" collapsed="false">
      <c r="A74" s="11" t="s">
        <v>119</v>
      </c>
      <c r="B74" s="11" t="s">
        <v>120</v>
      </c>
      <c r="C74" s="11" t="s">
        <v>1246</v>
      </c>
      <c r="D74" s="14" t="s">
        <v>1247</v>
      </c>
      <c r="E74" s="13" t="n">
        <v>18495</v>
      </c>
      <c r="F74" s="11" t="s">
        <v>1112</v>
      </c>
      <c r="G74" s="11" t="s">
        <v>1248</v>
      </c>
      <c r="H74" s="11" t="s">
        <v>1146</v>
      </c>
      <c r="I74" s="16" t="s">
        <v>1105</v>
      </c>
    </row>
    <row r="75" customFormat="false" ht="15" hidden="false" customHeight="false" outlineLevel="0" collapsed="false">
      <c r="A75" s="11" t="s">
        <v>119</v>
      </c>
      <c r="B75" s="11" t="s">
        <v>120</v>
      </c>
      <c r="C75" s="11" t="s">
        <v>1246</v>
      </c>
      <c r="D75" s="14" t="s">
        <v>1249</v>
      </c>
      <c r="E75" s="13" t="n">
        <v>7879.9</v>
      </c>
      <c r="F75" s="11" t="s">
        <v>1112</v>
      </c>
      <c r="G75" s="11" t="s">
        <v>1250</v>
      </c>
      <c r="H75" s="11" t="s">
        <v>1104</v>
      </c>
      <c r="I75" s="16" t="s">
        <v>1105</v>
      </c>
    </row>
    <row r="76" customFormat="false" ht="23.85" hidden="false" customHeight="false" outlineLevel="0" collapsed="false">
      <c r="A76" s="11" t="s">
        <v>119</v>
      </c>
      <c r="B76" s="11" t="s">
        <v>120</v>
      </c>
      <c r="C76" s="11" t="s">
        <v>1251</v>
      </c>
      <c r="D76" s="14" t="s">
        <v>1252</v>
      </c>
      <c r="E76" s="13" t="n">
        <v>37000</v>
      </c>
      <c r="F76" s="11" t="s">
        <v>1107</v>
      </c>
      <c r="G76" s="11" t="s">
        <v>1253</v>
      </c>
      <c r="H76" s="11" t="s">
        <v>1146</v>
      </c>
      <c r="I76" s="16" t="s">
        <v>1105</v>
      </c>
    </row>
    <row r="77" customFormat="false" ht="23.85" hidden="false" customHeight="false" outlineLevel="0" collapsed="false">
      <c r="A77" s="11" t="s">
        <v>124</v>
      </c>
      <c r="B77" s="11" t="s">
        <v>125</v>
      </c>
      <c r="C77" s="11" t="s">
        <v>127</v>
      </c>
      <c r="D77" s="14" t="s">
        <v>128</v>
      </c>
      <c r="E77" s="13" t="n">
        <v>59820</v>
      </c>
      <c r="F77" s="11" t="s">
        <v>1102</v>
      </c>
      <c r="G77" s="11" t="s">
        <v>1254</v>
      </c>
      <c r="H77" s="11" t="s">
        <v>1109</v>
      </c>
      <c r="I77" s="16" t="s">
        <v>1105</v>
      </c>
    </row>
    <row r="78" customFormat="false" ht="23.85" hidden="false" customHeight="false" outlineLevel="0" collapsed="false">
      <c r="A78" s="11" t="s">
        <v>124</v>
      </c>
      <c r="B78" s="11" t="s">
        <v>125</v>
      </c>
      <c r="C78" s="11" t="s">
        <v>100</v>
      </c>
      <c r="D78" s="14" t="s">
        <v>1255</v>
      </c>
      <c r="E78" s="13" t="n">
        <v>5900</v>
      </c>
      <c r="F78" s="11" t="s">
        <v>1112</v>
      </c>
      <c r="G78" s="11" t="s">
        <v>1256</v>
      </c>
      <c r="H78" s="11" t="s">
        <v>1146</v>
      </c>
      <c r="I78" s="16" t="s">
        <v>1105</v>
      </c>
    </row>
    <row r="79" customFormat="false" ht="23.85" hidden="false" customHeight="false" outlineLevel="0" collapsed="false">
      <c r="A79" s="11" t="s">
        <v>124</v>
      </c>
      <c r="B79" s="11" t="s">
        <v>125</v>
      </c>
      <c r="C79" s="11" t="s">
        <v>325</v>
      </c>
      <c r="D79" s="14" t="s">
        <v>1257</v>
      </c>
      <c r="E79" s="13" t="n">
        <v>20204</v>
      </c>
      <c r="F79" s="11" t="s">
        <v>1107</v>
      </c>
      <c r="G79" s="11" t="s">
        <v>1258</v>
      </c>
      <c r="H79" s="11" t="s">
        <v>1109</v>
      </c>
      <c r="I79" s="16" t="s">
        <v>1105</v>
      </c>
    </row>
    <row r="80" customFormat="false" ht="23.85" hidden="false" customHeight="false" outlineLevel="0" collapsed="false">
      <c r="A80" s="11" t="s">
        <v>124</v>
      </c>
      <c r="B80" s="11" t="s">
        <v>125</v>
      </c>
      <c r="C80" s="11" t="s">
        <v>365</v>
      </c>
      <c r="D80" s="14" t="s">
        <v>1259</v>
      </c>
      <c r="E80" s="13" t="n">
        <v>8700</v>
      </c>
      <c r="F80" s="11" t="s">
        <v>1112</v>
      </c>
      <c r="G80" s="11" t="s">
        <v>1260</v>
      </c>
      <c r="H80" s="11" t="s">
        <v>1109</v>
      </c>
      <c r="I80" s="16" t="s">
        <v>1105</v>
      </c>
    </row>
    <row r="81" customFormat="false" ht="23.85" hidden="false" customHeight="false" outlineLevel="0" collapsed="false">
      <c r="A81" s="11" t="s">
        <v>124</v>
      </c>
      <c r="B81" s="11" t="s">
        <v>125</v>
      </c>
      <c r="C81" s="11" t="s">
        <v>1261</v>
      </c>
      <c r="D81" s="14" t="s">
        <v>1262</v>
      </c>
      <c r="E81" s="13" t="n">
        <v>30566.81</v>
      </c>
      <c r="F81" s="11" t="s">
        <v>1107</v>
      </c>
      <c r="G81" s="11" t="s">
        <v>1263</v>
      </c>
      <c r="H81" s="11" t="s">
        <v>1109</v>
      </c>
      <c r="I81" s="16" t="s">
        <v>1105</v>
      </c>
    </row>
    <row r="82" customFormat="false" ht="15" hidden="false" customHeight="false" outlineLevel="0" collapsed="false">
      <c r="A82" s="11" t="s">
        <v>129</v>
      </c>
      <c r="B82" s="11" t="s">
        <v>130</v>
      </c>
      <c r="C82" s="11" t="s">
        <v>132</v>
      </c>
      <c r="D82" s="14" t="s">
        <v>133</v>
      </c>
      <c r="E82" s="13" t="n">
        <v>51000.02</v>
      </c>
      <c r="F82" s="11" t="s">
        <v>1107</v>
      </c>
      <c r="G82" s="11" t="s">
        <v>1264</v>
      </c>
      <c r="H82" s="11" t="s">
        <v>1146</v>
      </c>
      <c r="I82" s="16" t="s">
        <v>1105</v>
      </c>
    </row>
    <row r="83" customFormat="false" ht="15" hidden="false" customHeight="false" outlineLevel="0" collapsed="false">
      <c r="A83" s="11" t="s">
        <v>129</v>
      </c>
      <c r="B83" s="11" t="s">
        <v>130</v>
      </c>
      <c r="C83" s="11" t="s">
        <v>365</v>
      </c>
      <c r="D83" s="14" t="s">
        <v>1265</v>
      </c>
      <c r="E83" s="13" t="n">
        <v>19159.12</v>
      </c>
      <c r="F83" s="11" t="s">
        <v>1112</v>
      </c>
      <c r="G83" s="11" t="s">
        <v>1266</v>
      </c>
      <c r="H83" s="11" t="s">
        <v>1109</v>
      </c>
      <c r="I83" s="16" t="s">
        <v>1105</v>
      </c>
    </row>
    <row r="84" customFormat="false" ht="23.85" hidden="false" customHeight="false" outlineLevel="0" collapsed="false">
      <c r="A84" s="11" t="s">
        <v>129</v>
      </c>
      <c r="B84" s="11" t="s">
        <v>130</v>
      </c>
      <c r="C84" s="11" t="s">
        <v>523</v>
      </c>
      <c r="D84" s="14" t="s">
        <v>1267</v>
      </c>
      <c r="E84" s="13" t="n">
        <v>38000</v>
      </c>
      <c r="F84" s="11" t="s">
        <v>1107</v>
      </c>
      <c r="G84" s="11" t="s">
        <v>1268</v>
      </c>
      <c r="H84" s="11" t="s">
        <v>1146</v>
      </c>
      <c r="I84" s="16" t="s">
        <v>1105</v>
      </c>
    </row>
    <row r="85" customFormat="false" ht="23.85" hidden="false" customHeight="false" outlineLevel="0" collapsed="false">
      <c r="A85" s="11" t="s">
        <v>129</v>
      </c>
      <c r="B85" s="11" t="s">
        <v>130</v>
      </c>
      <c r="C85" s="11" t="s">
        <v>1222</v>
      </c>
      <c r="D85" s="14" t="s">
        <v>1269</v>
      </c>
      <c r="E85" s="13" t="n">
        <v>71000</v>
      </c>
      <c r="F85" s="11" t="s">
        <v>1107</v>
      </c>
      <c r="G85" s="11" t="s">
        <v>1270</v>
      </c>
      <c r="H85" s="11" t="s">
        <v>1271</v>
      </c>
      <c r="I85" s="16" t="s">
        <v>1105</v>
      </c>
    </row>
    <row r="86" customFormat="false" ht="15" hidden="false" customHeight="false" outlineLevel="0" collapsed="false">
      <c r="A86" s="11" t="s">
        <v>129</v>
      </c>
      <c r="B86" s="11" t="s">
        <v>130</v>
      </c>
      <c r="C86" s="11" t="s">
        <v>263</v>
      </c>
      <c r="D86" s="14" t="s">
        <v>1272</v>
      </c>
      <c r="E86" s="13" t="n">
        <v>7500</v>
      </c>
      <c r="F86" s="11" t="s">
        <v>1112</v>
      </c>
      <c r="G86" s="11" t="s">
        <v>1273</v>
      </c>
      <c r="H86" s="11" t="s">
        <v>1146</v>
      </c>
      <c r="I86" s="16" t="s">
        <v>1105</v>
      </c>
    </row>
    <row r="87" customFormat="false" ht="15" hidden="false" customHeight="false" outlineLevel="0" collapsed="false">
      <c r="A87" s="11" t="s">
        <v>134</v>
      </c>
      <c r="B87" s="11" t="s">
        <v>135</v>
      </c>
      <c r="C87" s="11" t="s">
        <v>137</v>
      </c>
      <c r="D87" s="14" t="s">
        <v>138</v>
      </c>
      <c r="E87" s="13" t="n">
        <v>12999.84</v>
      </c>
      <c r="F87" s="11" t="s">
        <v>1112</v>
      </c>
      <c r="G87" s="11" t="s">
        <v>1274</v>
      </c>
      <c r="H87" s="11" t="s">
        <v>1109</v>
      </c>
      <c r="I87" s="16" t="s">
        <v>1105</v>
      </c>
    </row>
    <row r="88" customFormat="false" ht="15" hidden="false" customHeight="false" outlineLevel="0" collapsed="false">
      <c r="A88" s="11" t="s">
        <v>134</v>
      </c>
      <c r="B88" s="11" t="s">
        <v>135</v>
      </c>
      <c r="C88" s="11" t="s">
        <v>127</v>
      </c>
      <c r="D88" s="14" t="s">
        <v>1275</v>
      </c>
      <c r="E88" s="13" t="n">
        <v>213104.16</v>
      </c>
      <c r="F88" s="11" t="s">
        <v>1112</v>
      </c>
      <c r="G88" s="11" t="s">
        <v>1276</v>
      </c>
      <c r="H88" s="11" t="s">
        <v>1109</v>
      </c>
      <c r="I88" s="16" t="s">
        <v>1105</v>
      </c>
    </row>
    <row r="89" customFormat="false" ht="15" hidden="false" customHeight="false" outlineLevel="0" collapsed="false">
      <c r="A89" s="11" t="s">
        <v>134</v>
      </c>
      <c r="B89" s="11" t="s">
        <v>135</v>
      </c>
      <c r="C89" s="11" t="s">
        <v>155</v>
      </c>
      <c r="D89" s="14" t="s">
        <v>1277</v>
      </c>
      <c r="E89" s="13" t="n">
        <v>83370</v>
      </c>
      <c r="F89" s="11" t="s">
        <v>1112</v>
      </c>
      <c r="G89" s="11" t="s">
        <v>1278</v>
      </c>
      <c r="H89" s="11" t="s">
        <v>1109</v>
      </c>
      <c r="I89" s="16" t="s">
        <v>1105</v>
      </c>
    </row>
    <row r="90" customFormat="false" ht="23.85" hidden="false" customHeight="false" outlineLevel="0" collapsed="false">
      <c r="A90" s="11" t="s">
        <v>134</v>
      </c>
      <c r="B90" s="11" t="s">
        <v>135</v>
      </c>
      <c r="C90" s="11" t="s">
        <v>1279</v>
      </c>
      <c r="D90" s="14" t="s">
        <v>1280</v>
      </c>
      <c r="E90" s="13" t="n">
        <v>25110</v>
      </c>
      <c r="F90" s="11" t="s">
        <v>1107</v>
      </c>
      <c r="G90" s="11" t="s">
        <v>1281</v>
      </c>
      <c r="H90" s="11" t="s">
        <v>1146</v>
      </c>
      <c r="I90" s="16" t="s">
        <v>1105</v>
      </c>
    </row>
    <row r="91" customFormat="false" ht="23.85" hidden="false" customHeight="false" outlineLevel="0" collapsed="false">
      <c r="A91" s="11" t="s">
        <v>134</v>
      </c>
      <c r="B91" s="11" t="s">
        <v>135</v>
      </c>
      <c r="C91" s="11" t="s">
        <v>122</v>
      </c>
      <c r="D91" s="14" t="s">
        <v>1282</v>
      </c>
      <c r="E91" s="13" t="n">
        <v>204240.5</v>
      </c>
      <c r="F91" s="11" t="s">
        <v>1283</v>
      </c>
      <c r="G91" s="11" t="s">
        <v>1284</v>
      </c>
      <c r="H91" s="11" t="s">
        <v>1109</v>
      </c>
      <c r="I91" s="16" t="s">
        <v>1105</v>
      </c>
    </row>
    <row r="92" customFormat="false" ht="23.85" hidden="false" customHeight="false" outlineLevel="0" collapsed="false">
      <c r="A92" s="11" t="s">
        <v>139</v>
      </c>
      <c r="B92" s="11" t="s">
        <v>140</v>
      </c>
      <c r="C92" s="11" t="s">
        <v>142</v>
      </c>
      <c r="D92" s="14" t="s">
        <v>143</v>
      </c>
      <c r="E92" s="13" t="n">
        <v>43006.18</v>
      </c>
      <c r="F92" s="11" t="s">
        <v>1107</v>
      </c>
      <c r="G92" s="11" t="s">
        <v>1285</v>
      </c>
      <c r="H92" s="11" t="s">
        <v>1109</v>
      </c>
      <c r="I92" s="16" t="s">
        <v>1105</v>
      </c>
    </row>
    <row r="93" customFormat="false" ht="23.85" hidden="false" customHeight="false" outlineLevel="0" collapsed="false">
      <c r="A93" s="11" t="s">
        <v>139</v>
      </c>
      <c r="B93" s="11" t="s">
        <v>140</v>
      </c>
      <c r="C93" s="11" t="s">
        <v>343</v>
      </c>
      <c r="D93" s="14" t="s">
        <v>1286</v>
      </c>
      <c r="E93" s="13" t="n">
        <v>13512</v>
      </c>
      <c r="F93" s="11" t="s">
        <v>1112</v>
      </c>
      <c r="G93" s="11" t="s">
        <v>1287</v>
      </c>
      <c r="H93" s="11" t="s">
        <v>1109</v>
      </c>
      <c r="I93" s="16" t="s">
        <v>1105</v>
      </c>
    </row>
    <row r="94" customFormat="false" ht="23.85" hidden="false" customHeight="false" outlineLevel="0" collapsed="false">
      <c r="A94" s="11" t="s">
        <v>139</v>
      </c>
      <c r="B94" s="11" t="s">
        <v>140</v>
      </c>
      <c r="C94" s="11" t="s">
        <v>410</v>
      </c>
      <c r="D94" s="14" t="s">
        <v>1288</v>
      </c>
      <c r="E94" s="13" t="n">
        <v>17309</v>
      </c>
      <c r="F94" s="11" t="s">
        <v>1112</v>
      </c>
      <c r="G94" s="11" t="s">
        <v>1289</v>
      </c>
      <c r="H94" s="11" t="s">
        <v>1109</v>
      </c>
      <c r="I94" s="16" t="s">
        <v>1105</v>
      </c>
    </row>
    <row r="95" customFormat="false" ht="15" hidden="false" customHeight="false" outlineLevel="0" collapsed="false">
      <c r="A95" s="11" t="s">
        <v>139</v>
      </c>
      <c r="B95" s="11" t="s">
        <v>140</v>
      </c>
      <c r="C95" s="11" t="s">
        <v>1290</v>
      </c>
      <c r="D95" s="14" t="s">
        <v>1291</v>
      </c>
      <c r="E95" s="13" t="n">
        <v>23486</v>
      </c>
      <c r="F95" s="11" t="s">
        <v>1102</v>
      </c>
      <c r="G95" s="11" t="s">
        <v>1292</v>
      </c>
      <c r="H95" s="11" t="s">
        <v>1109</v>
      </c>
      <c r="I95" s="16" t="s">
        <v>1105</v>
      </c>
    </row>
    <row r="96" customFormat="false" ht="23.85" hidden="false" customHeight="false" outlineLevel="0" collapsed="false">
      <c r="A96" s="11" t="s">
        <v>139</v>
      </c>
      <c r="B96" s="11" t="s">
        <v>140</v>
      </c>
      <c r="C96" s="11" t="s">
        <v>1293</v>
      </c>
      <c r="D96" s="14" t="s">
        <v>1294</v>
      </c>
      <c r="E96" s="13" t="n">
        <v>11601.36</v>
      </c>
      <c r="F96" s="11" t="s">
        <v>1112</v>
      </c>
      <c r="G96" s="11" t="s">
        <v>1295</v>
      </c>
      <c r="H96" s="11" t="s">
        <v>1146</v>
      </c>
      <c r="I96" s="16" t="s">
        <v>1105</v>
      </c>
    </row>
    <row r="97" customFormat="false" ht="15" hidden="false" customHeight="false" outlineLevel="0" collapsed="false">
      <c r="A97" s="11" t="s">
        <v>144</v>
      </c>
      <c r="B97" s="11" t="s">
        <v>145</v>
      </c>
      <c r="C97" s="11" t="s">
        <v>75</v>
      </c>
      <c r="D97" s="14" t="s">
        <v>147</v>
      </c>
      <c r="E97" s="13" t="n">
        <v>7683.51</v>
      </c>
      <c r="F97" s="11" t="s">
        <v>1112</v>
      </c>
      <c r="G97" s="11" t="s">
        <v>1296</v>
      </c>
      <c r="H97" s="11" t="s">
        <v>1104</v>
      </c>
      <c r="I97" s="16" t="s">
        <v>1105</v>
      </c>
    </row>
    <row r="98" customFormat="false" ht="23.85" hidden="false" customHeight="false" outlineLevel="0" collapsed="false">
      <c r="A98" s="11" t="s">
        <v>144</v>
      </c>
      <c r="B98" s="11" t="s">
        <v>145</v>
      </c>
      <c r="C98" s="11" t="s">
        <v>137</v>
      </c>
      <c r="D98" s="14" t="s">
        <v>1297</v>
      </c>
      <c r="E98" s="13" t="n">
        <v>6650</v>
      </c>
      <c r="F98" s="11" t="s">
        <v>1112</v>
      </c>
      <c r="G98" s="11" t="s">
        <v>1298</v>
      </c>
      <c r="H98" s="11" t="s">
        <v>1109</v>
      </c>
      <c r="I98" s="16" t="s">
        <v>1105</v>
      </c>
    </row>
    <row r="99" customFormat="false" ht="23.85" hidden="false" customHeight="false" outlineLevel="0" collapsed="false">
      <c r="A99" s="11" t="s">
        <v>144</v>
      </c>
      <c r="B99" s="11" t="s">
        <v>145</v>
      </c>
      <c r="C99" s="11" t="s">
        <v>343</v>
      </c>
      <c r="D99" s="14" t="s">
        <v>1299</v>
      </c>
      <c r="E99" s="13" t="n">
        <v>1222</v>
      </c>
      <c r="F99" s="11" t="s">
        <v>1102</v>
      </c>
      <c r="G99" s="11" t="s">
        <v>1300</v>
      </c>
      <c r="H99" s="11" t="s">
        <v>1140</v>
      </c>
      <c r="I99" s="16" t="s">
        <v>1105</v>
      </c>
    </row>
    <row r="100" customFormat="false" ht="23.85" hidden="false" customHeight="false" outlineLevel="0" collapsed="false">
      <c r="A100" s="11" t="s">
        <v>144</v>
      </c>
      <c r="B100" s="11" t="s">
        <v>145</v>
      </c>
      <c r="C100" s="11" t="s">
        <v>365</v>
      </c>
      <c r="D100" s="14" t="s">
        <v>1299</v>
      </c>
      <c r="E100" s="13" t="n">
        <v>76919.25</v>
      </c>
      <c r="F100" s="11" t="s">
        <v>1102</v>
      </c>
      <c r="G100" s="11" t="s">
        <v>1301</v>
      </c>
      <c r="H100" s="11" t="s">
        <v>1140</v>
      </c>
      <c r="I100" s="16" t="s">
        <v>1105</v>
      </c>
    </row>
    <row r="101" customFormat="false" ht="23.85" hidden="false" customHeight="false" outlineLevel="0" collapsed="false">
      <c r="A101" s="11" t="s">
        <v>144</v>
      </c>
      <c r="B101" s="11" t="s">
        <v>145</v>
      </c>
      <c r="C101" s="11" t="s">
        <v>365</v>
      </c>
      <c r="D101" s="14" t="s">
        <v>1299</v>
      </c>
      <c r="E101" s="13" t="n">
        <v>17890.5</v>
      </c>
      <c r="F101" s="11" t="s">
        <v>1102</v>
      </c>
      <c r="G101" s="11" t="s">
        <v>1302</v>
      </c>
      <c r="H101" s="11" t="s">
        <v>1140</v>
      </c>
      <c r="I101" s="16" t="s">
        <v>1105</v>
      </c>
    </row>
    <row r="102" customFormat="false" ht="23.85" hidden="false" customHeight="false" outlineLevel="0" collapsed="false">
      <c r="A102" s="11" t="s">
        <v>148</v>
      </c>
      <c r="B102" s="11" t="s">
        <v>149</v>
      </c>
      <c r="C102" s="11" t="s">
        <v>60</v>
      </c>
      <c r="D102" s="14" t="s">
        <v>151</v>
      </c>
      <c r="E102" s="13" t="n">
        <v>5801</v>
      </c>
      <c r="F102" s="11" t="s">
        <v>1112</v>
      </c>
      <c r="G102" s="11" t="s">
        <v>1303</v>
      </c>
      <c r="H102" s="11" t="s">
        <v>1187</v>
      </c>
      <c r="I102" s="16" t="s">
        <v>1105</v>
      </c>
    </row>
    <row r="103" customFormat="false" ht="23.85" hidden="false" customHeight="false" outlineLevel="0" collapsed="false">
      <c r="A103" s="11" t="s">
        <v>148</v>
      </c>
      <c r="B103" s="11" t="s">
        <v>149</v>
      </c>
      <c r="C103" s="11" t="s">
        <v>568</v>
      </c>
      <c r="D103" s="14" t="s">
        <v>1304</v>
      </c>
      <c r="E103" s="13" t="n">
        <v>40000</v>
      </c>
      <c r="F103" s="11" t="s">
        <v>1107</v>
      </c>
      <c r="G103" s="11" t="s">
        <v>1305</v>
      </c>
      <c r="H103" s="11" t="s">
        <v>1109</v>
      </c>
      <c r="I103" s="16" t="s">
        <v>1105</v>
      </c>
    </row>
    <row r="104" customFormat="false" ht="15" hidden="false" customHeight="false" outlineLevel="0" collapsed="false">
      <c r="A104" s="11" t="s">
        <v>148</v>
      </c>
      <c r="B104" s="11" t="s">
        <v>149</v>
      </c>
      <c r="C104" s="11" t="s">
        <v>95</v>
      </c>
      <c r="D104" s="14" t="s">
        <v>1306</v>
      </c>
      <c r="E104" s="13" t="n">
        <v>25000</v>
      </c>
      <c r="F104" s="11" t="s">
        <v>1112</v>
      </c>
      <c r="G104" s="11" t="s">
        <v>1307</v>
      </c>
      <c r="H104" s="11" t="s">
        <v>1109</v>
      </c>
      <c r="I104" s="16" t="s">
        <v>1105</v>
      </c>
    </row>
    <row r="105" customFormat="false" ht="15" hidden="false" customHeight="false" outlineLevel="0" collapsed="false">
      <c r="A105" s="11" t="s">
        <v>148</v>
      </c>
      <c r="B105" s="11" t="s">
        <v>149</v>
      </c>
      <c r="C105" s="11" t="s">
        <v>738</v>
      </c>
      <c r="D105" s="14" t="s">
        <v>1308</v>
      </c>
      <c r="E105" s="13" t="n">
        <v>74790.84</v>
      </c>
      <c r="F105" s="11" t="s">
        <v>1107</v>
      </c>
      <c r="G105" s="11" t="s">
        <v>1309</v>
      </c>
      <c r="H105" s="11" t="s">
        <v>1109</v>
      </c>
      <c r="I105" s="16" t="s">
        <v>1105</v>
      </c>
    </row>
    <row r="106" customFormat="false" ht="23.85" hidden="false" customHeight="false" outlineLevel="0" collapsed="false">
      <c r="A106" s="11" t="s">
        <v>148</v>
      </c>
      <c r="B106" s="11" t="s">
        <v>149</v>
      </c>
      <c r="C106" s="11" t="s">
        <v>395</v>
      </c>
      <c r="D106" s="14" t="s">
        <v>1310</v>
      </c>
      <c r="E106" s="13" t="n">
        <v>7825.8</v>
      </c>
      <c r="F106" s="11" t="s">
        <v>1112</v>
      </c>
      <c r="G106" s="11" t="s">
        <v>1311</v>
      </c>
      <c r="H106" s="11" t="s">
        <v>1109</v>
      </c>
      <c r="I106" s="16" t="s">
        <v>1105</v>
      </c>
    </row>
    <row r="107" customFormat="false" ht="23.85" hidden="false" customHeight="false" outlineLevel="0" collapsed="false">
      <c r="A107" s="11" t="s">
        <v>152</v>
      </c>
      <c r="B107" s="11" t="s">
        <v>153</v>
      </c>
      <c r="C107" s="11" t="s">
        <v>155</v>
      </c>
      <c r="D107" s="14" t="s">
        <v>156</v>
      </c>
      <c r="E107" s="13" t="n">
        <v>14520</v>
      </c>
      <c r="F107" s="11" t="s">
        <v>1107</v>
      </c>
      <c r="G107" s="11" t="s">
        <v>1312</v>
      </c>
      <c r="H107" s="11" t="s">
        <v>1109</v>
      </c>
      <c r="I107" s="16" t="s">
        <v>1105</v>
      </c>
    </row>
    <row r="108" customFormat="false" ht="23.85" hidden="false" customHeight="false" outlineLevel="0" collapsed="false">
      <c r="A108" s="11" t="s">
        <v>152</v>
      </c>
      <c r="B108" s="11" t="s">
        <v>153</v>
      </c>
      <c r="C108" s="11" t="s">
        <v>1212</v>
      </c>
      <c r="D108" s="14" t="s">
        <v>1313</v>
      </c>
      <c r="E108" s="13" t="n">
        <v>19200</v>
      </c>
      <c r="F108" s="11" t="s">
        <v>1112</v>
      </c>
      <c r="G108" s="11" t="s">
        <v>1314</v>
      </c>
      <c r="H108" s="11" t="s">
        <v>1146</v>
      </c>
      <c r="I108" s="16" t="s">
        <v>1105</v>
      </c>
    </row>
    <row r="109" customFormat="false" ht="23.85" hidden="false" customHeight="false" outlineLevel="0" collapsed="false">
      <c r="A109" s="11" t="s">
        <v>152</v>
      </c>
      <c r="B109" s="11" t="s">
        <v>153</v>
      </c>
      <c r="C109" s="11" t="s">
        <v>216</v>
      </c>
      <c r="D109" s="14" t="s">
        <v>1315</v>
      </c>
      <c r="E109" s="13" t="n">
        <v>55681.57</v>
      </c>
      <c r="F109" s="11" t="s">
        <v>1107</v>
      </c>
      <c r="G109" s="11" t="s">
        <v>1309</v>
      </c>
      <c r="H109" s="11" t="s">
        <v>1109</v>
      </c>
      <c r="I109" s="16" t="s">
        <v>1105</v>
      </c>
    </row>
    <row r="110" customFormat="false" ht="23.85" hidden="false" customHeight="false" outlineLevel="0" collapsed="false">
      <c r="A110" s="11" t="s">
        <v>152</v>
      </c>
      <c r="B110" s="11" t="s">
        <v>153</v>
      </c>
      <c r="C110" s="11" t="s">
        <v>282</v>
      </c>
      <c r="D110" s="14" t="s">
        <v>1316</v>
      </c>
      <c r="E110" s="13" t="n">
        <v>55227.51</v>
      </c>
      <c r="F110" s="11" t="s">
        <v>1107</v>
      </c>
      <c r="G110" s="11" t="s">
        <v>1309</v>
      </c>
      <c r="H110" s="11" t="s">
        <v>1109</v>
      </c>
      <c r="I110" s="16" t="s">
        <v>1105</v>
      </c>
    </row>
    <row r="111" customFormat="false" ht="23.85" hidden="false" customHeight="false" outlineLevel="0" collapsed="false">
      <c r="A111" s="11" t="s">
        <v>152</v>
      </c>
      <c r="B111" s="11" t="s">
        <v>153</v>
      </c>
      <c r="C111" s="11" t="s">
        <v>519</v>
      </c>
      <c r="D111" s="14" t="s">
        <v>1317</v>
      </c>
      <c r="E111" s="13" t="n">
        <v>12715.42</v>
      </c>
      <c r="F111" s="11" t="s">
        <v>1112</v>
      </c>
      <c r="G111" s="11" t="s">
        <v>1318</v>
      </c>
      <c r="H111" s="11" t="s">
        <v>1126</v>
      </c>
      <c r="I111" s="16" t="s">
        <v>1105</v>
      </c>
    </row>
    <row r="112" customFormat="false" ht="23.85" hidden="false" customHeight="false" outlineLevel="0" collapsed="false">
      <c r="A112" s="11" t="s">
        <v>157</v>
      </c>
      <c r="B112" s="11" t="s">
        <v>158</v>
      </c>
      <c r="C112" s="11" t="s">
        <v>85</v>
      </c>
      <c r="D112" s="14" t="s">
        <v>160</v>
      </c>
      <c r="E112" s="13" t="n">
        <v>10234.75</v>
      </c>
      <c r="F112" s="11" t="s">
        <v>1102</v>
      </c>
      <c r="G112" s="11" t="s">
        <v>1319</v>
      </c>
      <c r="H112" s="11" t="s">
        <v>1109</v>
      </c>
      <c r="I112" s="16" t="s">
        <v>1105</v>
      </c>
    </row>
    <row r="113" customFormat="false" ht="23.85" hidden="false" customHeight="false" outlineLevel="0" collapsed="false">
      <c r="A113" s="11" t="s">
        <v>157</v>
      </c>
      <c r="B113" s="11" t="s">
        <v>158</v>
      </c>
      <c r="C113" s="11" t="s">
        <v>90</v>
      </c>
      <c r="D113" s="14" t="s">
        <v>1320</v>
      </c>
      <c r="E113" s="13" t="n">
        <v>14500</v>
      </c>
      <c r="F113" s="11" t="s">
        <v>1102</v>
      </c>
      <c r="G113" s="11" t="s">
        <v>1321</v>
      </c>
      <c r="H113" s="11" t="s">
        <v>1146</v>
      </c>
      <c r="I113" s="16" t="s">
        <v>1105</v>
      </c>
    </row>
    <row r="114" customFormat="false" ht="15" hidden="false" customHeight="false" outlineLevel="0" collapsed="false">
      <c r="A114" s="11" t="s">
        <v>157</v>
      </c>
      <c r="B114" s="11" t="s">
        <v>158</v>
      </c>
      <c r="C114" s="11" t="s">
        <v>100</v>
      </c>
      <c r="D114" s="14" t="s">
        <v>1322</v>
      </c>
      <c r="E114" s="13" t="n">
        <v>69500</v>
      </c>
      <c r="F114" s="11" t="s">
        <v>1102</v>
      </c>
      <c r="G114" s="11" t="s">
        <v>1323</v>
      </c>
      <c r="H114" s="11" t="s">
        <v>1104</v>
      </c>
      <c r="I114" s="16" t="s">
        <v>1105</v>
      </c>
    </row>
    <row r="115" customFormat="false" ht="23.85" hidden="false" customHeight="false" outlineLevel="0" collapsed="false">
      <c r="A115" s="11" t="s">
        <v>157</v>
      </c>
      <c r="B115" s="11" t="s">
        <v>158</v>
      </c>
      <c r="C115" s="11" t="s">
        <v>100</v>
      </c>
      <c r="D115" s="14" t="s">
        <v>1324</v>
      </c>
      <c r="E115" s="13" t="n">
        <v>64599</v>
      </c>
      <c r="F115" s="11" t="s">
        <v>1102</v>
      </c>
      <c r="G115" s="11" t="s">
        <v>1323</v>
      </c>
      <c r="H115" s="11" t="s">
        <v>1104</v>
      </c>
      <c r="I115" s="16" t="s">
        <v>1105</v>
      </c>
    </row>
    <row r="116" customFormat="false" ht="23.85" hidden="false" customHeight="false" outlineLevel="0" collapsed="false">
      <c r="A116" s="11" t="s">
        <v>157</v>
      </c>
      <c r="B116" s="11" t="s">
        <v>158</v>
      </c>
      <c r="C116" s="11" t="s">
        <v>1212</v>
      </c>
      <c r="D116" s="14" t="s">
        <v>1325</v>
      </c>
      <c r="E116" s="13" t="n">
        <v>150000</v>
      </c>
      <c r="F116" s="11" t="s">
        <v>1112</v>
      </c>
      <c r="G116" s="11" t="s">
        <v>1326</v>
      </c>
      <c r="H116" s="11" t="s">
        <v>1146</v>
      </c>
      <c r="I116" s="16" t="s">
        <v>1105</v>
      </c>
    </row>
    <row r="117" customFormat="false" ht="15" hidden="false" customHeight="false" outlineLevel="0" collapsed="false">
      <c r="A117" s="11" t="s">
        <v>161</v>
      </c>
      <c r="B117" s="11" t="s">
        <v>162</v>
      </c>
      <c r="C117" s="11" t="s">
        <v>164</v>
      </c>
      <c r="D117" s="14" t="s">
        <v>165</v>
      </c>
      <c r="E117" s="13" t="n">
        <v>17510</v>
      </c>
      <c r="F117" s="11" t="s">
        <v>1112</v>
      </c>
      <c r="G117" s="11" t="s">
        <v>1307</v>
      </c>
      <c r="H117" s="11" t="s">
        <v>1109</v>
      </c>
      <c r="I117" s="16" t="s">
        <v>1105</v>
      </c>
    </row>
    <row r="118" customFormat="false" ht="15" hidden="false" customHeight="false" outlineLevel="0" collapsed="false">
      <c r="A118" s="11" t="s">
        <v>161</v>
      </c>
      <c r="B118" s="11" t="s">
        <v>162</v>
      </c>
      <c r="C118" s="11" t="s">
        <v>1327</v>
      </c>
      <c r="D118" s="14" t="s">
        <v>1328</v>
      </c>
      <c r="E118" s="13" t="n">
        <v>23810.5</v>
      </c>
      <c r="F118" s="11" t="s">
        <v>1107</v>
      </c>
      <c r="G118" s="11" t="s">
        <v>1329</v>
      </c>
      <c r="H118" s="11" t="s">
        <v>1109</v>
      </c>
      <c r="I118" s="16" t="s">
        <v>1105</v>
      </c>
    </row>
    <row r="119" customFormat="false" ht="15" hidden="false" customHeight="false" outlineLevel="0" collapsed="false">
      <c r="A119" s="11" t="s">
        <v>161</v>
      </c>
      <c r="B119" s="11" t="s">
        <v>162</v>
      </c>
      <c r="C119" s="11" t="s">
        <v>1327</v>
      </c>
      <c r="D119" s="14" t="s">
        <v>1330</v>
      </c>
      <c r="E119" s="13" t="n">
        <v>15428.3</v>
      </c>
      <c r="F119" s="11" t="s">
        <v>1112</v>
      </c>
      <c r="G119" s="11" t="s">
        <v>1331</v>
      </c>
      <c r="H119" s="11" t="s">
        <v>1133</v>
      </c>
      <c r="I119" s="16" t="s">
        <v>1105</v>
      </c>
    </row>
    <row r="120" customFormat="false" ht="23.85" hidden="false" customHeight="false" outlineLevel="0" collapsed="false">
      <c r="A120" s="11" t="s">
        <v>161</v>
      </c>
      <c r="B120" s="11" t="s">
        <v>162</v>
      </c>
      <c r="C120" s="11" t="s">
        <v>132</v>
      </c>
      <c r="D120" s="14" t="s">
        <v>1332</v>
      </c>
      <c r="E120" s="13" t="n">
        <v>22061.6</v>
      </c>
      <c r="F120" s="11" t="s">
        <v>1107</v>
      </c>
      <c r="G120" s="11" t="s">
        <v>1333</v>
      </c>
      <c r="H120" s="11" t="s">
        <v>1334</v>
      </c>
      <c r="I120" s="16" t="s">
        <v>1105</v>
      </c>
    </row>
    <row r="121" customFormat="false" ht="15" hidden="false" customHeight="false" outlineLevel="0" collapsed="false">
      <c r="A121" s="11" t="s">
        <v>161</v>
      </c>
      <c r="B121" s="11" t="s">
        <v>162</v>
      </c>
      <c r="C121" s="11" t="s">
        <v>1335</v>
      </c>
      <c r="D121" s="14" t="s">
        <v>1336</v>
      </c>
      <c r="E121" s="13" t="n">
        <v>14801.58</v>
      </c>
      <c r="F121" s="11" t="s">
        <v>1112</v>
      </c>
      <c r="G121" s="11" t="s">
        <v>1337</v>
      </c>
      <c r="H121" s="11" t="s">
        <v>1109</v>
      </c>
      <c r="I121" s="16" t="s">
        <v>1105</v>
      </c>
    </row>
    <row r="122" customFormat="false" ht="15" hidden="false" customHeight="false" outlineLevel="0" collapsed="false">
      <c r="A122" s="11" t="s">
        <v>166</v>
      </c>
      <c r="B122" s="11" t="s">
        <v>167</v>
      </c>
      <c r="C122" s="11" t="s">
        <v>169</v>
      </c>
      <c r="D122" s="14" t="s">
        <v>170</v>
      </c>
      <c r="E122" s="13" t="n">
        <v>7818</v>
      </c>
      <c r="F122" s="11" t="s">
        <v>1112</v>
      </c>
      <c r="G122" s="11" t="s">
        <v>1338</v>
      </c>
      <c r="H122" s="11" t="s">
        <v>1146</v>
      </c>
      <c r="I122" s="16" t="s">
        <v>1105</v>
      </c>
    </row>
    <row r="123" customFormat="false" ht="23.85" hidden="false" customHeight="false" outlineLevel="0" collapsed="false">
      <c r="A123" s="11" t="s">
        <v>166</v>
      </c>
      <c r="B123" s="11" t="s">
        <v>167</v>
      </c>
      <c r="C123" s="11" t="s">
        <v>380</v>
      </c>
      <c r="D123" s="14" t="s">
        <v>1339</v>
      </c>
      <c r="E123" s="13" t="n">
        <v>16265</v>
      </c>
      <c r="F123" s="11" t="s">
        <v>1107</v>
      </c>
      <c r="G123" s="11" t="s">
        <v>1168</v>
      </c>
      <c r="H123" s="11" t="s">
        <v>1109</v>
      </c>
      <c r="I123" s="16" t="s">
        <v>1105</v>
      </c>
    </row>
    <row r="124" customFormat="false" ht="23.85" hidden="false" customHeight="false" outlineLevel="0" collapsed="false">
      <c r="A124" s="11" t="s">
        <v>166</v>
      </c>
      <c r="B124" s="11" t="s">
        <v>167</v>
      </c>
      <c r="C124" s="11" t="s">
        <v>380</v>
      </c>
      <c r="D124" s="14" t="s">
        <v>1340</v>
      </c>
      <c r="E124" s="13" t="n">
        <v>9300</v>
      </c>
      <c r="F124" s="11" t="s">
        <v>1112</v>
      </c>
      <c r="G124" s="11" t="s">
        <v>1341</v>
      </c>
      <c r="H124" s="11" t="s">
        <v>1109</v>
      </c>
      <c r="I124" s="16" t="s">
        <v>1105</v>
      </c>
    </row>
    <row r="125" customFormat="false" ht="15" hidden="false" customHeight="false" outlineLevel="0" collapsed="false">
      <c r="A125" s="11" t="s">
        <v>166</v>
      </c>
      <c r="B125" s="11" t="s">
        <v>167</v>
      </c>
      <c r="C125" s="11" t="s">
        <v>662</v>
      </c>
      <c r="D125" s="14" t="s">
        <v>1342</v>
      </c>
      <c r="E125" s="13" t="n">
        <v>32847</v>
      </c>
      <c r="F125" s="11" t="s">
        <v>1112</v>
      </c>
      <c r="G125" s="11" t="s">
        <v>1343</v>
      </c>
      <c r="H125" s="11" t="s">
        <v>1109</v>
      </c>
      <c r="I125" s="16" t="s">
        <v>1105</v>
      </c>
    </row>
    <row r="126" customFormat="false" ht="15" hidden="false" customHeight="false" outlineLevel="0" collapsed="false">
      <c r="A126" s="11" t="s">
        <v>166</v>
      </c>
      <c r="B126" s="11" t="s">
        <v>167</v>
      </c>
      <c r="C126" s="11" t="s">
        <v>1344</v>
      </c>
      <c r="D126" s="14" t="s">
        <v>1345</v>
      </c>
      <c r="E126" s="13" t="n">
        <v>17140.83</v>
      </c>
      <c r="F126" s="11" t="s">
        <v>1112</v>
      </c>
      <c r="G126" s="11" t="s">
        <v>1346</v>
      </c>
      <c r="H126" s="11" t="s">
        <v>1109</v>
      </c>
      <c r="I126" s="16" t="s">
        <v>1105</v>
      </c>
    </row>
    <row r="127" customFormat="false" ht="15" hidden="false" customHeight="false" outlineLevel="0" collapsed="false">
      <c r="A127" s="11" t="s">
        <v>171</v>
      </c>
      <c r="B127" s="11" t="s">
        <v>172</v>
      </c>
      <c r="C127" s="11" t="s">
        <v>174</v>
      </c>
      <c r="D127" s="14" t="s">
        <v>175</v>
      </c>
      <c r="E127" s="13" t="n">
        <v>38160.25</v>
      </c>
      <c r="F127" s="11" t="s">
        <v>1107</v>
      </c>
      <c r="G127" s="11" t="s">
        <v>1347</v>
      </c>
      <c r="H127" s="11" t="s">
        <v>1109</v>
      </c>
      <c r="I127" s="16" t="s">
        <v>1105</v>
      </c>
    </row>
    <row r="128" customFormat="false" ht="23.85" hidden="false" customHeight="false" outlineLevel="0" collapsed="false">
      <c r="A128" s="11" t="s">
        <v>171</v>
      </c>
      <c r="B128" s="11" t="s">
        <v>172</v>
      </c>
      <c r="C128" s="11" t="s">
        <v>762</v>
      </c>
      <c r="D128" s="14" t="s">
        <v>1348</v>
      </c>
      <c r="E128" s="13" t="n">
        <v>19795.81</v>
      </c>
      <c r="F128" s="11" t="s">
        <v>1112</v>
      </c>
      <c r="G128" s="11" t="s">
        <v>1224</v>
      </c>
      <c r="H128" s="11" t="s">
        <v>1109</v>
      </c>
      <c r="I128" s="16" t="s">
        <v>1105</v>
      </c>
    </row>
    <row r="129" customFormat="false" ht="23.85" hidden="false" customHeight="false" outlineLevel="0" collapsed="false">
      <c r="A129" s="11" t="s">
        <v>171</v>
      </c>
      <c r="B129" s="11" t="s">
        <v>172</v>
      </c>
      <c r="C129" s="11" t="s">
        <v>1293</v>
      </c>
      <c r="D129" s="14" t="s">
        <v>1349</v>
      </c>
      <c r="E129" s="13" t="n">
        <v>24530</v>
      </c>
      <c r="F129" s="11" t="s">
        <v>1112</v>
      </c>
      <c r="G129" s="11" t="s">
        <v>1350</v>
      </c>
      <c r="H129" s="11" t="s">
        <v>1109</v>
      </c>
      <c r="I129" s="16" t="s">
        <v>1105</v>
      </c>
    </row>
    <row r="130" customFormat="false" ht="15" hidden="false" customHeight="false" outlineLevel="0" collapsed="false">
      <c r="A130" s="11" t="s">
        <v>171</v>
      </c>
      <c r="B130" s="11" t="s">
        <v>172</v>
      </c>
      <c r="C130" s="11" t="s">
        <v>1351</v>
      </c>
      <c r="D130" s="14" t="s">
        <v>1352</v>
      </c>
      <c r="E130" s="13" t="n">
        <v>12000</v>
      </c>
      <c r="F130" s="11" t="s">
        <v>1112</v>
      </c>
      <c r="G130" s="11" t="s">
        <v>1353</v>
      </c>
      <c r="H130" s="11" t="s">
        <v>1146</v>
      </c>
      <c r="I130" s="16" t="s">
        <v>1105</v>
      </c>
    </row>
    <row r="131" customFormat="false" ht="23.85" hidden="false" customHeight="false" outlineLevel="0" collapsed="false">
      <c r="A131" s="11" t="s">
        <v>171</v>
      </c>
      <c r="B131" s="11" t="s">
        <v>172</v>
      </c>
      <c r="C131" s="11" t="s">
        <v>495</v>
      </c>
      <c r="D131" s="14" t="s">
        <v>1354</v>
      </c>
      <c r="E131" s="13" t="n">
        <v>15970</v>
      </c>
      <c r="F131" s="11" t="s">
        <v>1107</v>
      </c>
      <c r="G131" s="11" t="s">
        <v>1355</v>
      </c>
      <c r="H131" s="11" t="s">
        <v>1146</v>
      </c>
      <c r="I131" s="16" t="s">
        <v>1105</v>
      </c>
    </row>
    <row r="132" customFormat="false" ht="23.85" hidden="false" customHeight="false" outlineLevel="0" collapsed="false">
      <c r="A132" s="11" t="s">
        <v>176</v>
      </c>
      <c r="B132" s="11" t="s">
        <v>177</v>
      </c>
      <c r="C132" s="11" t="s">
        <v>179</v>
      </c>
      <c r="D132" s="14" t="s">
        <v>180</v>
      </c>
      <c r="E132" s="13" t="n">
        <v>1400</v>
      </c>
      <c r="F132" s="11" t="s">
        <v>1112</v>
      </c>
      <c r="G132" s="11" t="s">
        <v>1356</v>
      </c>
      <c r="H132" s="11" t="s">
        <v>1109</v>
      </c>
      <c r="I132" s="16" t="s">
        <v>1105</v>
      </c>
    </row>
    <row r="133" customFormat="false" ht="15" hidden="false" customHeight="false" outlineLevel="0" collapsed="false">
      <c r="A133" s="11" t="s">
        <v>176</v>
      </c>
      <c r="B133" s="11" t="s">
        <v>177</v>
      </c>
      <c r="C133" s="11" t="s">
        <v>1212</v>
      </c>
      <c r="D133" s="14" t="s">
        <v>1357</v>
      </c>
      <c r="E133" s="13" t="n">
        <v>22185</v>
      </c>
      <c r="F133" s="11" t="s">
        <v>1107</v>
      </c>
      <c r="G133" s="11" t="s">
        <v>1358</v>
      </c>
      <c r="H133" s="11" t="s">
        <v>1109</v>
      </c>
      <c r="I133" s="16" t="s">
        <v>1105</v>
      </c>
    </row>
    <row r="134" customFormat="false" ht="23.85" hidden="false" customHeight="false" outlineLevel="0" collapsed="false">
      <c r="A134" s="11" t="s">
        <v>176</v>
      </c>
      <c r="B134" s="11" t="s">
        <v>177</v>
      </c>
      <c r="C134" s="11" t="s">
        <v>70</v>
      </c>
      <c r="D134" s="14" t="s">
        <v>1359</v>
      </c>
      <c r="E134" s="13" t="n">
        <v>35372.1</v>
      </c>
      <c r="F134" s="11" t="s">
        <v>1102</v>
      </c>
      <c r="G134" s="11" t="s">
        <v>1360</v>
      </c>
      <c r="H134" s="11" t="s">
        <v>1109</v>
      </c>
      <c r="I134" s="16" t="s">
        <v>1105</v>
      </c>
    </row>
    <row r="135" customFormat="false" ht="35.05" hidden="false" customHeight="false" outlineLevel="0" collapsed="false">
      <c r="A135" s="11" t="s">
        <v>176</v>
      </c>
      <c r="B135" s="11" t="s">
        <v>177</v>
      </c>
      <c r="C135" s="11" t="s">
        <v>380</v>
      </c>
      <c r="D135" s="14" t="s">
        <v>1361</v>
      </c>
      <c r="E135" s="13" t="n">
        <v>36500</v>
      </c>
      <c r="F135" s="11" t="s">
        <v>1102</v>
      </c>
      <c r="G135" s="11" t="s">
        <v>1362</v>
      </c>
      <c r="H135" s="11" t="s">
        <v>1363</v>
      </c>
      <c r="I135" s="16" t="s">
        <v>1105</v>
      </c>
    </row>
    <row r="136" customFormat="false" ht="23.85" hidden="false" customHeight="false" outlineLevel="0" collapsed="false">
      <c r="A136" s="11" t="s">
        <v>176</v>
      </c>
      <c r="B136" s="11" t="s">
        <v>177</v>
      </c>
      <c r="C136" s="11" t="s">
        <v>236</v>
      </c>
      <c r="D136" s="14" t="s">
        <v>1364</v>
      </c>
      <c r="E136" s="13" t="n">
        <v>3450</v>
      </c>
      <c r="F136" s="11" t="s">
        <v>1107</v>
      </c>
      <c r="G136" s="11" t="s">
        <v>1365</v>
      </c>
      <c r="H136" s="11" t="s">
        <v>1109</v>
      </c>
      <c r="I136" s="16" t="s">
        <v>1105</v>
      </c>
    </row>
    <row r="137" customFormat="false" ht="23.85" hidden="false" customHeight="false" outlineLevel="0" collapsed="false">
      <c r="A137" s="11" t="s">
        <v>181</v>
      </c>
      <c r="B137" s="11" t="s">
        <v>182</v>
      </c>
      <c r="C137" s="11" t="s">
        <v>164</v>
      </c>
      <c r="D137" s="14" t="s">
        <v>184</v>
      </c>
      <c r="E137" s="13" t="n">
        <v>45825</v>
      </c>
      <c r="F137" s="11" t="s">
        <v>1102</v>
      </c>
      <c r="G137" s="11" t="s">
        <v>1366</v>
      </c>
      <c r="H137" s="11" t="s">
        <v>1146</v>
      </c>
      <c r="I137" s="16" t="s">
        <v>1105</v>
      </c>
    </row>
    <row r="138" customFormat="false" ht="23.85" hidden="false" customHeight="false" outlineLevel="0" collapsed="false">
      <c r="A138" s="11" t="s">
        <v>181</v>
      </c>
      <c r="B138" s="11" t="s">
        <v>182</v>
      </c>
      <c r="C138" s="11" t="s">
        <v>1157</v>
      </c>
      <c r="D138" s="14" t="s">
        <v>1367</v>
      </c>
      <c r="E138" s="13" t="n">
        <v>43524</v>
      </c>
      <c r="F138" s="11" t="s">
        <v>1112</v>
      </c>
      <c r="G138" s="11" t="s">
        <v>1368</v>
      </c>
      <c r="H138" s="11" t="s">
        <v>1109</v>
      </c>
      <c r="I138" s="16" t="s">
        <v>1105</v>
      </c>
    </row>
    <row r="139" customFormat="false" ht="23.85" hidden="false" customHeight="false" outlineLevel="0" collapsed="false">
      <c r="A139" s="11" t="s">
        <v>181</v>
      </c>
      <c r="B139" s="11" t="s">
        <v>182</v>
      </c>
      <c r="C139" s="11" t="s">
        <v>395</v>
      </c>
      <c r="D139" s="14" t="s">
        <v>1369</v>
      </c>
      <c r="E139" s="13" t="n">
        <v>12995</v>
      </c>
      <c r="F139" s="11" t="s">
        <v>1107</v>
      </c>
      <c r="G139" s="11" t="s">
        <v>1370</v>
      </c>
      <c r="H139" s="11" t="s">
        <v>1146</v>
      </c>
      <c r="I139" s="16" t="s">
        <v>1105</v>
      </c>
    </row>
    <row r="140" customFormat="false" ht="23.85" hidden="false" customHeight="false" outlineLevel="0" collapsed="false">
      <c r="A140" s="11" t="s">
        <v>181</v>
      </c>
      <c r="B140" s="11" t="s">
        <v>182</v>
      </c>
      <c r="C140" s="11" t="s">
        <v>581</v>
      </c>
      <c r="D140" s="14" t="s">
        <v>1371</v>
      </c>
      <c r="E140" s="13" t="n">
        <v>17499</v>
      </c>
      <c r="F140" s="11" t="s">
        <v>1112</v>
      </c>
      <c r="G140" s="11" t="s">
        <v>1372</v>
      </c>
      <c r="H140" s="11" t="s">
        <v>1187</v>
      </c>
      <c r="I140" s="16" t="s">
        <v>1105</v>
      </c>
    </row>
    <row r="141" customFormat="false" ht="23.85" hidden="false" customHeight="false" outlineLevel="0" collapsed="false">
      <c r="A141" s="11" t="s">
        <v>181</v>
      </c>
      <c r="B141" s="11" t="s">
        <v>182</v>
      </c>
      <c r="C141" s="11" t="s">
        <v>1373</v>
      </c>
      <c r="D141" s="14" t="s">
        <v>1374</v>
      </c>
      <c r="E141" s="13" t="n">
        <v>76000</v>
      </c>
      <c r="F141" s="11" t="s">
        <v>1102</v>
      </c>
      <c r="G141" s="11" t="s">
        <v>1375</v>
      </c>
      <c r="H141" s="11" t="s">
        <v>1146</v>
      </c>
      <c r="I141" s="16" t="s">
        <v>1105</v>
      </c>
    </row>
    <row r="142" customFormat="false" ht="15" hidden="false" customHeight="false" outlineLevel="0" collapsed="false">
      <c r="A142" s="11" t="s">
        <v>185</v>
      </c>
      <c r="B142" s="11" t="s">
        <v>186</v>
      </c>
      <c r="C142" s="11" t="s">
        <v>188</v>
      </c>
      <c r="D142" s="14" t="s">
        <v>189</v>
      </c>
      <c r="E142" s="13" t="n">
        <v>2304</v>
      </c>
      <c r="F142" s="11" t="s">
        <v>1112</v>
      </c>
      <c r="G142" s="11" t="s">
        <v>1376</v>
      </c>
      <c r="H142" s="11" t="s">
        <v>1109</v>
      </c>
      <c r="I142" s="16" t="s">
        <v>1105</v>
      </c>
    </row>
    <row r="143" customFormat="false" ht="23.85" hidden="false" customHeight="false" outlineLevel="0" collapsed="false">
      <c r="A143" s="11" t="s">
        <v>185</v>
      </c>
      <c r="B143" s="11" t="s">
        <v>186</v>
      </c>
      <c r="C143" s="11" t="s">
        <v>179</v>
      </c>
      <c r="D143" s="14" t="s">
        <v>1377</v>
      </c>
      <c r="E143" s="13" t="n">
        <v>4000</v>
      </c>
      <c r="F143" s="11" t="s">
        <v>1112</v>
      </c>
      <c r="G143" s="11" t="s">
        <v>1378</v>
      </c>
      <c r="H143" s="11" t="s">
        <v>1109</v>
      </c>
      <c r="I143" s="16" t="s">
        <v>1105</v>
      </c>
    </row>
    <row r="144" customFormat="false" ht="23.85" hidden="false" customHeight="false" outlineLevel="0" collapsed="false">
      <c r="A144" s="11" t="s">
        <v>185</v>
      </c>
      <c r="B144" s="11" t="s">
        <v>186</v>
      </c>
      <c r="C144" s="11" t="s">
        <v>1379</v>
      </c>
      <c r="D144" s="14" t="s">
        <v>1380</v>
      </c>
      <c r="E144" s="13" t="n">
        <v>5805</v>
      </c>
      <c r="F144" s="11" t="s">
        <v>1112</v>
      </c>
      <c r="G144" s="11" t="s">
        <v>1381</v>
      </c>
      <c r="H144" s="11" t="s">
        <v>1109</v>
      </c>
      <c r="I144" s="16" t="s">
        <v>1105</v>
      </c>
    </row>
    <row r="145" customFormat="false" ht="23.85" hidden="false" customHeight="false" outlineLevel="0" collapsed="false">
      <c r="A145" s="11" t="s">
        <v>185</v>
      </c>
      <c r="B145" s="11" t="s">
        <v>186</v>
      </c>
      <c r="C145" s="11" t="s">
        <v>325</v>
      </c>
      <c r="D145" s="14" t="s">
        <v>1382</v>
      </c>
      <c r="E145" s="13" t="n">
        <v>7039.08</v>
      </c>
      <c r="F145" s="11" t="s">
        <v>1112</v>
      </c>
      <c r="G145" s="11" t="s">
        <v>1383</v>
      </c>
      <c r="H145" s="11" t="s">
        <v>1126</v>
      </c>
      <c r="I145" s="16" t="s">
        <v>1105</v>
      </c>
    </row>
    <row r="146" customFormat="false" ht="23.85" hidden="false" customHeight="false" outlineLevel="0" collapsed="false">
      <c r="A146" s="11" t="s">
        <v>185</v>
      </c>
      <c r="B146" s="11" t="s">
        <v>186</v>
      </c>
      <c r="C146" s="11" t="s">
        <v>70</v>
      </c>
      <c r="D146" s="14" t="s">
        <v>1384</v>
      </c>
      <c r="E146" s="13" t="n">
        <v>3160</v>
      </c>
      <c r="F146" s="11" t="s">
        <v>1112</v>
      </c>
      <c r="G146" s="11" t="s">
        <v>1385</v>
      </c>
      <c r="H146" s="11" t="s">
        <v>1109</v>
      </c>
      <c r="I146" s="16" t="s">
        <v>1105</v>
      </c>
    </row>
    <row r="147" customFormat="false" ht="23.85" hidden="false" customHeight="false" outlineLevel="0" collapsed="false">
      <c r="A147" s="11" t="s">
        <v>190</v>
      </c>
      <c r="B147" s="11" t="s">
        <v>191</v>
      </c>
      <c r="C147" s="11" t="s">
        <v>80</v>
      </c>
      <c r="D147" s="14" t="s">
        <v>193</v>
      </c>
      <c r="E147" s="13" t="n">
        <v>7820.22</v>
      </c>
      <c r="F147" s="11" t="s">
        <v>1169</v>
      </c>
      <c r="G147" s="11" t="s">
        <v>1386</v>
      </c>
      <c r="H147" s="11" t="s">
        <v>1387</v>
      </c>
      <c r="I147" s="16" t="s">
        <v>1105</v>
      </c>
    </row>
    <row r="148" customFormat="false" ht="23.85" hidden="false" customHeight="false" outlineLevel="0" collapsed="false">
      <c r="A148" s="11" t="s">
        <v>190</v>
      </c>
      <c r="B148" s="11" t="s">
        <v>191</v>
      </c>
      <c r="C148" s="11" t="s">
        <v>122</v>
      </c>
      <c r="D148" s="14" t="s">
        <v>1388</v>
      </c>
      <c r="E148" s="13" t="n">
        <v>17268.34</v>
      </c>
      <c r="F148" s="11" t="s">
        <v>1112</v>
      </c>
      <c r="G148" s="11" t="s">
        <v>1389</v>
      </c>
      <c r="H148" s="11" t="s">
        <v>1104</v>
      </c>
      <c r="I148" s="16" t="s">
        <v>1105</v>
      </c>
    </row>
    <row r="149" customFormat="false" ht="23.85" hidden="false" customHeight="false" outlineLevel="0" collapsed="false">
      <c r="A149" s="11" t="s">
        <v>190</v>
      </c>
      <c r="B149" s="11" t="s">
        <v>191</v>
      </c>
      <c r="C149" s="11" t="s">
        <v>1390</v>
      </c>
      <c r="D149" s="14" t="s">
        <v>1391</v>
      </c>
      <c r="E149" s="13" t="n">
        <v>5700</v>
      </c>
      <c r="F149" s="11" t="s">
        <v>1112</v>
      </c>
      <c r="G149" s="11" t="s">
        <v>1392</v>
      </c>
      <c r="H149" s="11" t="s">
        <v>1146</v>
      </c>
      <c r="I149" s="16" t="s">
        <v>1105</v>
      </c>
    </row>
    <row r="150" customFormat="false" ht="23.85" hidden="false" customHeight="false" outlineLevel="0" collapsed="false">
      <c r="A150" s="11" t="s">
        <v>190</v>
      </c>
      <c r="B150" s="11" t="s">
        <v>191</v>
      </c>
      <c r="C150" s="11" t="s">
        <v>1393</v>
      </c>
      <c r="D150" s="14" t="s">
        <v>1394</v>
      </c>
      <c r="E150" s="13" t="n">
        <v>9900</v>
      </c>
      <c r="F150" s="11" t="s">
        <v>1107</v>
      </c>
      <c r="G150" s="11" t="s">
        <v>1395</v>
      </c>
      <c r="H150" s="11" t="s">
        <v>1146</v>
      </c>
      <c r="I150" s="16" t="s">
        <v>1105</v>
      </c>
    </row>
    <row r="151" customFormat="false" ht="35.05" hidden="false" customHeight="false" outlineLevel="0" collapsed="false">
      <c r="A151" s="11" t="s">
        <v>190</v>
      </c>
      <c r="B151" s="11" t="s">
        <v>191</v>
      </c>
      <c r="C151" s="11" t="s">
        <v>1396</v>
      </c>
      <c r="D151" s="14" t="s">
        <v>1397</v>
      </c>
      <c r="E151" s="13" t="n">
        <v>66900</v>
      </c>
      <c r="F151" s="11" t="s">
        <v>1107</v>
      </c>
      <c r="G151" s="11" t="s">
        <v>1103</v>
      </c>
      <c r="H151" s="11" t="s">
        <v>1398</v>
      </c>
      <c r="I151" s="16" t="s">
        <v>1105</v>
      </c>
    </row>
    <row r="152" customFormat="false" ht="23.85" hidden="false" customHeight="false" outlineLevel="0" collapsed="false">
      <c r="A152" s="11" t="s">
        <v>194</v>
      </c>
      <c r="B152" s="11" t="s">
        <v>195</v>
      </c>
      <c r="C152" s="11" t="s">
        <v>197</v>
      </c>
      <c r="D152" s="14" t="s">
        <v>198</v>
      </c>
      <c r="E152" s="13" t="n">
        <v>23000</v>
      </c>
      <c r="F152" s="11" t="s">
        <v>1107</v>
      </c>
      <c r="G152" s="11" t="s">
        <v>1399</v>
      </c>
      <c r="H152" s="11" t="s">
        <v>1187</v>
      </c>
      <c r="I152" s="16" t="s">
        <v>1105</v>
      </c>
    </row>
    <row r="153" customFormat="false" ht="23.85" hidden="false" customHeight="false" outlineLevel="0" collapsed="false">
      <c r="A153" s="11" t="s">
        <v>194</v>
      </c>
      <c r="B153" s="11" t="s">
        <v>195</v>
      </c>
      <c r="C153" s="11" t="s">
        <v>169</v>
      </c>
      <c r="D153" s="14" t="s">
        <v>1400</v>
      </c>
      <c r="E153" s="13" t="n">
        <v>7380.67</v>
      </c>
      <c r="F153" s="11" t="s">
        <v>1112</v>
      </c>
      <c r="G153" s="11" t="s">
        <v>1401</v>
      </c>
      <c r="H153" s="11" t="s">
        <v>1126</v>
      </c>
      <c r="I153" s="16" t="s">
        <v>1105</v>
      </c>
    </row>
    <row r="154" customFormat="false" ht="23.85" hidden="false" customHeight="false" outlineLevel="0" collapsed="false">
      <c r="A154" s="11" t="s">
        <v>194</v>
      </c>
      <c r="B154" s="11" t="s">
        <v>195</v>
      </c>
      <c r="C154" s="11" t="s">
        <v>174</v>
      </c>
      <c r="D154" s="14" t="s">
        <v>1402</v>
      </c>
      <c r="E154" s="13" t="n">
        <v>19950</v>
      </c>
      <c r="F154" s="11" t="s">
        <v>1112</v>
      </c>
      <c r="G154" s="11" t="s">
        <v>1403</v>
      </c>
      <c r="H154" s="11" t="s">
        <v>1146</v>
      </c>
      <c r="I154" s="16" t="s">
        <v>1105</v>
      </c>
    </row>
    <row r="155" customFormat="false" ht="23.85" hidden="false" customHeight="false" outlineLevel="0" collapsed="false">
      <c r="A155" s="11" t="s">
        <v>194</v>
      </c>
      <c r="B155" s="11" t="s">
        <v>195</v>
      </c>
      <c r="C155" s="11" t="s">
        <v>1404</v>
      </c>
      <c r="D155" s="14" t="s">
        <v>1405</v>
      </c>
      <c r="E155" s="13" t="n">
        <v>69430</v>
      </c>
      <c r="F155" s="11" t="s">
        <v>1107</v>
      </c>
      <c r="G155" s="11" t="s">
        <v>1406</v>
      </c>
      <c r="H155" s="11" t="s">
        <v>1109</v>
      </c>
      <c r="I155" s="16" t="s">
        <v>1105</v>
      </c>
    </row>
    <row r="156" customFormat="false" ht="23.85" hidden="false" customHeight="false" outlineLevel="0" collapsed="false">
      <c r="A156" s="11" t="s">
        <v>194</v>
      </c>
      <c r="B156" s="11" t="s">
        <v>195</v>
      </c>
      <c r="C156" s="11" t="s">
        <v>1407</v>
      </c>
      <c r="D156" s="14" t="s">
        <v>1408</v>
      </c>
      <c r="E156" s="13" t="n">
        <v>238695.52</v>
      </c>
      <c r="F156" s="11" t="s">
        <v>1102</v>
      </c>
      <c r="G156" s="11" t="s">
        <v>1142</v>
      </c>
      <c r="H156" s="11" t="s">
        <v>1109</v>
      </c>
      <c r="I156" s="16" t="s">
        <v>1105</v>
      </c>
    </row>
    <row r="157" customFormat="false" ht="23.85" hidden="false" customHeight="false" outlineLevel="0" collapsed="false">
      <c r="A157" s="11" t="s">
        <v>199</v>
      </c>
      <c r="B157" s="11" t="s">
        <v>200</v>
      </c>
      <c r="C157" s="11" t="s">
        <v>202</v>
      </c>
      <c r="D157" s="14" t="s">
        <v>203</v>
      </c>
      <c r="E157" s="13" t="n">
        <v>12285</v>
      </c>
      <c r="F157" s="11" t="s">
        <v>1112</v>
      </c>
      <c r="G157" s="11" t="s">
        <v>1409</v>
      </c>
      <c r="H157" s="11" t="s">
        <v>1109</v>
      </c>
      <c r="I157" s="16" t="s">
        <v>1105</v>
      </c>
    </row>
    <row r="158" customFormat="false" ht="23.85" hidden="false" customHeight="false" outlineLevel="0" collapsed="false">
      <c r="A158" s="11" t="s">
        <v>199</v>
      </c>
      <c r="B158" s="11" t="s">
        <v>200</v>
      </c>
      <c r="C158" s="11" t="s">
        <v>1410</v>
      </c>
      <c r="D158" s="14" t="s">
        <v>1411</v>
      </c>
      <c r="E158" s="13" t="n">
        <v>25000</v>
      </c>
      <c r="F158" s="11" t="s">
        <v>1112</v>
      </c>
      <c r="G158" s="11" t="s">
        <v>1412</v>
      </c>
      <c r="H158" s="11" t="s">
        <v>1109</v>
      </c>
      <c r="I158" s="16" t="s">
        <v>1105</v>
      </c>
    </row>
    <row r="159" customFormat="false" ht="15" hidden="false" customHeight="false" outlineLevel="0" collapsed="false">
      <c r="A159" s="11" t="s">
        <v>199</v>
      </c>
      <c r="B159" s="11" t="s">
        <v>200</v>
      </c>
      <c r="C159" s="11" t="s">
        <v>1410</v>
      </c>
      <c r="D159" s="14" t="s">
        <v>1413</v>
      </c>
      <c r="E159" s="13" t="n">
        <v>30806.45</v>
      </c>
      <c r="F159" s="11" t="s">
        <v>1107</v>
      </c>
      <c r="G159" s="11" t="s">
        <v>1231</v>
      </c>
      <c r="H159" s="11" t="s">
        <v>1109</v>
      </c>
      <c r="I159" s="16" t="s">
        <v>1105</v>
      </c>
    </row>
    <row r="160" customFormat="false" ht="23.85" hidden="false" customHeight="false" outlineLevel="0" collapsed="false">
      <c r="A160" s="11" t="s">
        <v>199</v>
      </c>
      <c r="B160" s="11" t="s">
        <v>200</v>
      </c>
      <c r="C160" s="11" t="s">
        <v>1414</v>
      </c>
      <c r="D160" s="14" t="s">
        <v>1415</v>
      </c>
      <c r="E160" s="13" t="n">
        <v>14648.73</v>
      </c>
      <c r="F160" s="11" t="s">
        <v>1112</v>
      </c>
      <c r="G160" s="11" t="s">
        <v>1416</v>
      </c>
      <c r="H160" s="11" t="s">
        <v>1109</v>
      </c>
      <c r="I160" s="16" t="s">
        <v>1105</v>
      </c>
    </row>
    <row r="161" customFormat="false" ht="23.85" hidden="false" customHeight="false" outlineLevel="0" collapsed="false">
      <c r="A161" s="11" t="s">
        <v>199</v>
      </c>
      <c r="B161" s="11" t="s">
        <v>200</v>
      </c>
      <c r="C161" s="11" t="s">
        <v>1344</v>
      </c>
      <c r="D161" s="14" t="s">
        <v>1417</v>
      </c>
      <c r="E161" s="13" t="n">
        <v>25000</v>
      </c>
      <c r="F161" s="11" t="s">
        <v>1112</v>
      </c>
      <c r="G161" s="11" t="s">
        <v>1412</v>
      </c>
      <c r="H161" s="11" t="s">
        <v>1109</v>
      </c>
      <c r="I161" s="16" t="s">
        <v>1105</v>
      </c>
    </row>
    <row r="162" customFormat="false" ht="23.85" hidden="false" customHeight="false" outlineLevel="0" collapsed="false">
      <c r="A162" s="11" t="s">
        <v>204</v>
      </c>
      <c r="B162" s="11" t="s">
        <v>205</v>
      </c>
      <c r="C162" s="11" t="s">
        <v>207</v>
      </c>
      <c r="D162" s="14" t="s">
        <v>208</v>
      </c>
      <c r="E162" s="13" t="n">
        <v>11100</v>
      </c>
      <c r="F162" s="11" t="s">
        <v>1112</v>
      </c>
      <c r="G162" s="11" t="s">
        <v>1418</v>
      </c>
      <c r="H162" s="11" t="s">
        <v>1109</v>
      </c>
      <c r="I162" s="16" t="s">
        <v>1105</v>
      </c>
    </row>
    <row r="163" customFormat="false" ht="15" hidden="false" customHeight="false" outlineLevel="0" collapsed="false">
      <c r="A163" s="11" t="s">
        <v>204</v>
      </c>
      <c r="B163" s="11" t="s">
        <v>205</v>
      </c>
      <c r="C163" s="11" t="s">
        <v>1157</v>
      </c>
      <c r="D163" s="14" t="s">
        <v>1419</v>
      </c>
      <c r="E163" s="13" t="n">
        <v>7246.54</v>
      </c>
      <c r="F163" s="11" t="s">
        <v>1107</v>
      </c>
      <c r="G163" s="11" t="s">
        <v>1420</v>
      </c>
      <c r="H163" s="11" t="s">
        <v>1109</v>
      </c>
      <c r="I163" s="16" t="s">
        <v>1105</v>
      </c>
    </row>
    <row r="164" customFormat="false" ht="23.85" hidden="false" customHeight="false" outlineLevel="0" collapsed="false">
      <c r="A164" s="11" t="s">
        <v>204</v>
      </c>
      <c r="B164" s="11" t="s">
        <v>205</v>
      </c>
      <c r="C164" s="11" t="s">
        <v>216</v>
      </c>
      <c r="D164" s="14" t="s">
        <v>1421</v>
      </c>
      <c r="E164" s="13" t="n">
        <v>14641.47</v>
      </c>
      <c r="F164" s="11" t="s">
        <v>1112</v>
      </c>
      <c r="G164" s="11" t="s">
        <v>970</v>
      </c>
      <c r="H164" s="11" t="s">
        <v>1109</v>
      </c>
      <c r="I164" s="16" t="s">
        <v>1105</v>
      </c>
    </row>
    <row r="165" customFormat="false" ht="15" hidden="false" customHeight="false" outlineLevel="0" collapsed="false">
      <c r="A165" s="11" t="s">
        <v>204</v>
      </c>
      <c r="B165" s="11" t="s">
        <v>205</v>
      </c>
      <c r="C165" s="11" t="s">
        <v>471</v>
      </c>
      <c r="D165" s="14" t="s">
        <v>1422</v>
      </c>
      <c r="E165" s="13" t="n">
        <v>6685.86</v>
      </c>
      <c r="F165" s="11" t="s">
        <v>1107</v>
      </c>
      <c r="G165" s="11" t="s">
        <v>1423</v>
      </c>
      <c r="H165" s="11" t="s">
        <v>1109</v>
      </c>
      <c r="I165" s="16" t="s">
        <v>1105</v>
      </c>
    </row>
    <row r="166" customFormat="false" ht="23.85" hidden="false" customHeight="false" outlineLevel="0" collapsed="false">
      <c r="A166" s="11" t="s">
        <v>204</v>
      </c>
      <c r="B166" s="11" t="s">
        <v>205</v>
      </c>
      <c r="C166" s="11" t="s">
        <v>625</v>
      </c>
      <c r="D166" s="14" t="s">
        <v>1424</v>
      </c>
      <c r="E166" s="13" t="n">
        <v>13500</v>
      </c>
      <c r="F166" s="11" t="s">
        <v>1107</v>
      </c>
      <c r="G166" s="11" t="s">
        <v>1425</v>
      </c>
      <c r="H166" s="11" t="s">
        <v>1109</v>
      </c>
      <c r="I166" s="16" t="s">
        <v>1105</v>
      </c>
    </row>
    <row r="167" customFormat="false" ht="23.85" hidden="false" customHeight="false" outlineLevel="0" collapsed="false">
      <c r="A167" s="11" t="s">
        <v>209</v>
      </c>
      <c r="B167" s="11" t="s">
        <v>210</v>
      </c>
      <c r="C167" s="11" t="s">
        <v>164</v>
      </c>
      <c r="D167" s="14" t="s">
        <v>212</v>
      </c>
      <c r="E167" s="13" t="n">
        <v>9438.48</v>
      </c>
      <c r="F167" s="11" t="s">
        <v>1107</v>
      </c>
      <c r="G167" s="11" t="s">
        <v>1426</v>
      </c>
      <c r="H167" s="11" t="s">
        <v>1126</v>
      </c>
      <c r="I167" s="16" t="s">
        <v>1105</v>
      </c>
    </row>
    <row r="168" customFormat="false" ht="23.85" hidden="false" customHeight="false" outlineLevel="0" collapsed="false">
      <c r="A168" s="11" t="s">
        <v>209</v>
      </c>
      <c r="B168" s="11" t="s">
        <v>210</v>
      </c>
      <c r="C168" s="11" t="s">
        <v>137</v>
      </c>
      <c r="D168" s="14" t="s">
        <v>1427</v>
      </c>
      <c r="E168" s="13" t="n">
        <v>74399.04</v>
      </c>
      <c r="F168" s="11" t="s">
        <v>1107</v>
      </c>
      <c r="G168" s="11" t="s">
        <v>1428</v>
      </c>
      <c r="H168" s="11" t="s">
        <v>1133</v>
      </c>
      <c r="I168" s="16" t="s">
        <v>1105</v>
      </c>
    </row>
    <row r="169" customFormat="false" ht="15" hidden="false" customHeight="false" outlineLevel="0" collapsed="false">
      <c r="A169" s="11" t="s">
        <v>209</v>
      </c>
      <c r="B169" s="11" t="s">
        <v>210</v>
      </c>
      <c r="C169" s="11" t="s">
        <v>1429</v>
      </c>
      <c r="D169" s="14" t="s">
        <v>1430</v>
      </c>
      <c r="E169" s="13" t="n">
        <v>7513.9</v>
      </c>
      <c r="F169" s="11" t="s">
        <v>1107</v>
      </c>
      <c r="G169" s="11" t="s">
        <v>1231</v>
      </c>
      <c r="H169" s="11" t="s">
        <v>1109</v>
      </c>
      <c r="I169" s="16" t="s">
        <v>1105</v>
      </c>
    </row>
    <row r="170" customFormat="false" ht="15" hidden="false" customHeight="false" outlineLevel="0" collapsed="false">
      <c r="A170" s="11" t="s">
        <v>209</v>
      </c>
      <c r="B170" s="11" t="s">
        <v>210</v>
      </c>
      <c r="C170" s="11" t="s">
        <v>1431</v>
      </c>
      <c r="D170" s="14" t="s">
        <v>1432</v>
      </c>
      <c r="E170" s="13" t="n">
        <v>13000</v>
      </c>
      <c r="F170" s="11" t="s">
        <v>1107</v>
      </c>
      <c r="G170" s="11" t="s">
        <v>1433</v>
      </c>
      <c r="H170" s="11" t="s">
        <v>1398</v>
      </c>
      <c r="I170" s="16" t="s">
        <v>1105</v>
      </c>
    </row>
    <row r="171" customFormat="false" ht="23.85" hidden="false" customHeight="false" outlineLevel="0" collapsed="false">
      <c r="A171" s="11" t="s">
        <v>209</v>
      </c>
      <c r="B171" s="11" t="s">
        <v>210</v>
      </c>
      <c r="C171" s="11" t="s">
        <v>1434</v>
      </c>
      <c r="D171" s="14" t="s">
        <v>1435</v>
      </c>
      <c r="E171" s="13" t="n">
        <v>9500</v>
      </c>
      <c r="F171" s="11" t="s">
        <v>1107</v>
      </c>
      <c r="G171" s="11" t="s">
        <v>1436</v>
      </c>
      <c r="H171" s="11" t="s">
        <v>1104</v>
      </c>
      <c r="I171" s="16" t="s">
        <v>1105</v>
      </c>
    </row>
    <row r="172" customFormat="false" ht="23.85" hidden="false" customHeight="false" outlineLevel="0" collapsed="false">
      <c r="A172" s="11" t="s">
        <v>213</v>
      </c>
      <c r="B172" s="11" t="s">
        <v>214</v>
      </c>
      <c r="C172" s="11" t="s">
        <v>216</v>
      </c>
      <c r="D172" s="14" t="s">
        <v>217</v>
      </c>
      <c r="E172" s="13" t="n">
        <v>0</v>
      </c>
      <c r="F172" s="11" t="s">
        <v>1437</v>
      </c>
      <c r="G172" s="11" t="s">
        <v>1438</v>
      </c>
      <c r="H172" s="11" t="s">
        <v>1109</v>
      </c>
      <c r="I172" s="16" t="s">
        <v>1105</v>
      </c>
    </row>
    <row r="173" customFormat="false" ht="23.85" hidden="false" customHeight="false" outlineLevel="0" collapsed="false">
      <c r="A173" s="11" t="s">
        <v>213</v>
      </c>
      <c r="B173" s="11" t="s">
        <v>214</v>
      </c>
      <c r="C173" s="11" t="s">
        <v>476</v>
      </c>
      <c r="D173" s="14" t="s">
        <v>1439</v>
      </c>
      <c r="E173" s="13" t="n">
        <v>8270</v>
      </c>
      <c r="F173" s="11" t="s">
        <v>1112</v>
      </c>
      <c r="G173" s="11" t="s">
        <v>1440</v>
      </c>
      <c r="H173" s="11" t="s">
        <v>1109</v>
      </c>
      <c r="I173" s="16" t="s">
        <v>1105</v>
      </c>
    </row>
    <row r="174" customFormat="false" ht="23.85" hidden="false" customHeight="false" outlineLevel="0" collapsed="false">
      <c r="A174" s="11" t="s">
        <v>213</v>
      </c>
      <c r="B174" s="11" t="s">
        <v>214</v>
      </c>
      <c r="C174" s="11" t="s">
        <v>1193</v>
      </c>
      <c r="D174" s="14" t="s">
        <v>1441</v>
      </c>
      <c r="E174" s="13" t="n">
        <v>56336</v>
      </c>
      <c r="F174" s="11" t="s">
        <v>1442</v>
      </c>
      <c r="G174" s="11" t="s">
        <v>1443</v>
      </c>
      <c r="H174" s="11" t="s">
        <v>1109</v>
      </c>
      <c r="I174" s="16" t="s">
        <v>1105</v>
      </c>
    </row>
    <row r="175" customFormat="false" ht="23.85" hidden="false" customHeight="false" outlineLevel="0" collapsed="false">
      <c r="A175" s="11" t="s">
        <v>213</v>
      </c>
      <c r="B175" s="11" t="s">
        <v>214</v>
      </c>
      <c r="C175" s="11" t="s">
        <v>1202</v>
      </c>
      <c r="D175" s="14" t="s">
        <v>1444</v>
      </c>
      <c r="E175" s="13" t="n">
        <v>140472</v>
      </c>
      <c r="F175" s="11" t="s">
        <v>1102</v>
      </c>
      <c r="G175" s="11" t="s">
        <v>1445</v>
      </c>
      <c r="H175" s="11" t="s">
        <v>1109</v>
      </c>
      <c r="I175" s="16" t="s">
        <v>1105</v>
      </c>
    </row>
    <row r="176" customFormat="false" ht="23.85" hidden="false" customHeight="false" outlineLevel="0" collapsed="false">
      <c r="A176" s="11" t="s">
        <v>213</v>
      </c>
      <c r="B176" s="11" t="s">
        <v>214</v>
      </c>
      <c r="C176" s="11" t="s">
        <v>510</v>
      </c>
      <c r="D176" s="14" t="s">
        <v>1446</v>
      </c>
      <c r="E176" s="13" t="n">
        <v>216.24</v>
      </c>
      <c r="F176" s="11" t="s">
        <v>1442</v>
      </c>
      <c r="G176" s="11" t="s">
        <v>1447</v>
      </c>
      <c r="H176" s="11" t="s">
        <v>1104</v>
      </c>
      <c r="I176" s="16" t="s">
        <v>1105</v>
      </c>
    </row>
    <row r="177" customFormat="false" ht="23.85" hidden="false" customHeight="false" outlineLevel="0" collapsed="false">
      <c r="A177" s="11" t="s">
        <v>218</v>
      </c>
      <c r="B177" s="11" t="s">
        <v>219</v>
      </c>
      <c r="C177" s="11" t="s">
        <v>65</v>
      </c>
      <c r="D177" s="14" t="s">
        <v>221</v>
      </c>
      <c r="E177" s="13" t="n">
        <v>14589</v>
      </c>
      <c r="F177" s="11" t="s">
        <v>1169</v>
      </c>
      <c r="G177" s="11" t="s">
        <v>1448</v>
      </c>
      <c r="H177" s="11" t="s">
        <v>1109</v>
      </c>
      <c r="I177" s="16" t="s">
        <v>1105</v>
      </c>
    </row>
    <row r="178" customFormat="false" ht="23.85" hidden="false" customHeight="false" outlineLevel="0" collapsed="false">
      <c r="A178" s="11" t="s">
        <v>218</v>
      </c>
      <c r="B178" s="11" t="s">
        <v>219</v>
      </c>
      <c r="C178" s="11" t="s">
        <v>751</v>
      </c>
      <c r="D178" s="14" t="s">
        <v>1449</v>
      </c>
      <c r="E178" s="13" t="n">
        <v>7266</v>
      </c>
      <c r="F178" s="11" t="s">
        <v>1169</v>
      </c>
      <c r="G178" s="11" t="s">
        <v>1450</v>
      </c>
      <c r="H178" s="11" t="s">
        <v>1398</v>
      </c>
      <c r="I178" s="16" t="s">
        <v>1105</v>
      </c>
    </row>
    <row r="179" customFormat="false" ht="15" hidden="false" customHeight="false" outlineLevel="0" collapsed="false">
      <c r="A179" s="11" t="s">
        <v>218</v>
      </c>
      <c r="B179" s="11" t="s">
        <v>219</v>
      </c>
      <c r="C179" s="11" t="s">
        <v>1451</v>
      </c>
      <c r="D179" s="14" t="s">
        <v>1452</v>
      </c>
      <c r="E179" s="13" t="n">
        <v>13260</v>
      </c>
      <c r="F179" s="11" t="s">
        <v>1169</v>
      </c>
      <c r="G179" s="11" t="s">
        <v>1453</v>
      </c>
      <c r="H179" s="11" t="s">
        <v>1109</v>
      </c>
      <c r="I179" s="16" t="s">
        <v>1105</v>
      </c>
    </row>
    <row r="180" customFormat="false" ht="23.85" hidden="false" customHeight="false" outlineLevel="0" collapsed="false">
      <c r="A180" s="11" t="s">
        <v>218</v>
      </c>
      <c r="B180" s="11" t="s">
        <v>219</v>
      </c>
      <c r="C180" s="11" t="s">
        <v>174</v>
      </c>
      <c r="D180" s="14" t="s">
        <v>1454</v>
      </c>
      <c r="E180" s="13" t="n">
        <v>6907.39</v>
      </c>
      <c r="F180" s="11" t="s">
        <v>1169</v>
      </c>
      <c r="G180" s="11" t="s">
        <v>1455</v>
      </c>
      <c r="H180" s="11" t="s">
        <v>1109</v>
      </c>
      <c r="I180" s="16" t="s">
        <v>1105</v>
      </c>
    </row>
    <row r="181" customFormat="false" ht="23.85" hidden="false" customHeight="false" outlineLevel="0" collapsed="false">
      <c r="A181" s="11" t="s">
        <v>218</v>
      </c>
      <c r="B181" s="11" t="s">
        <v>219</v>
      </c>
      <c r="C181" s="11" t="s">
        <v>1251</v>
      </c>
      <c r="D181" s="14" t="s">
        <v>1456</v>
      </c>
      <c r="E181" s="13" t="n">
        <v>37700</v>
      </c>
      <c r="F181" s="11" t="s">
        <v>1169</v>
      </c>
      <c r="G181" s="11" t="s">
        <v>1457</v>
      </c>
      <c r="H181" s="11" t="s">
        <v>1109</v>
      </c>
      <c r="I181" s="16" t="s">
        <v>1105</v>
      </c>
    </row>
    <row r="182" customFormat="false" ht="23.85" hidden="false" customHeight="false" outlineLevel="0" collapsed="false">
      <c r="A182" s="11" t="s">
        <v>222</v>
      </c>
      <c r="B182" s="11" t="s">
        <v>223</v>
      </c>
      <c r="C182" s="11" t="s">
        <v>127</v>
      </c>
      <c r="D182" s="14" t="s">
        <v>225</v>
      </c>
      <c r="E182" s="13" t="n">
        <v>16560</v>
      </c>
      <c r="F182" s="11" t="s">
        <v>1102</v>
      </c>
      <c r="G182" s="11" t="s">
        <v>1458</v>
      </c>
      <c r="H182" s="11" t="s">
        <v>1104</v>
      </c>
      <c r="I182" s="16" t="s">
        <v>1105</v>
      </c>
    </row>
    <row r="183" customFormat="false" ht="23.85" hidden="false" customHeight="false" outlineLevel="0" collapsed="false">
      <c r="A183" s="11" t="s">
        <v>222</v>
      </c>
      <c r="B183" s="11" t="s">
        <v>223</v>
      </c>
      <c r="C183" s="11" t="s">
        <v>70</v>
      </c>
      <c r="D183" s="14" t="s">
        <v>1459</v>
      </c>
      <c r="E183" s="13" t="n">
        <v>6550.5</v>
      </c>
      <c r="F183" s="11" t="s">
        <v>1112</v>
      </c>
      <c r="G183" s="11" t="s">
        <v>1460</v>
      </c>
      <c r="H183" s="11" t="s">
        <v>1104</v>
      </c>
      <c r="I183" s="16" t="s">
        <v>1105</v>
      </c>
    </row>
    <row r="184" customFormat="false" ht="23.85" hidden="false" customHeight="false" outlineLevel="0" collapsed="false">
      <c r="A184" s="11" t="s">
        <v>222</v>
      </c>
      <c r="B184" s="11" t="s">
        <v>223</v>
      </c>
      <c r="C184" s="11" t="s">
        <v>1344</v>
      </c>
      <c r="D184" s="14" t="s">
        <v>1461</v>
      </c>
      <c r="E184" s="13" t="n">
        <v>9196.04</v>
      </c>
      <c r="F184" s="11" t="s">
        <v>1112</v>
      </c>
      <c r="G184" s="11" t="s">
        <v>1462</v>
      </c>
      <c r="H184" s="11" t="s">
        <v>1109</v>
      </c>
      <c r="I184" s="16" t="s">
        <v>1105</v>
      </c>
    </row>
    <row r="185" customFormat="false" ht="23.85" hidden="false" customHeight="false" outlineLevel="0" collapsed="false">
      <c r="A185" s="11" t="s">
        <v>222</v>
      </c>
      <c r="B185" s="11" t="s">
        <v>223</v>
      </c>
      <c r="C185" s="11" t="s">
        <v>1463</v>
      </c>
      <c r="D185" s="14" t="s">
        <v>1464</v>
      </c>
      <c r="E185" s="13" t="n">
        <v>59212.64</v>
      </c>
      <c r="F185" s="11" t="s">
        <v>1102</v>
      </c>
      <c r="G185" s="11" t="s">
        <v>1465</v>
      </c>
      <c r="H185" s="11" t="s">
        <v>1109</v>
      </c>
      <c r="I185" s="16" t="s">
        <v>1105</v>
      </c>
    </row>
    <row r="186" customFormat="false" ht="23.85" hidden="false" customHeight="false" outlineLevel="0" collapsed="false">
      <c r="A186" s="11" t="s">
        <v>222</v>
      </c>
      <c r="B186" s="11" t="s">
        <v>223</v>
      </c>
      <c r="C186" s="11" t="s">
        <v>555</v>
      </c>
      <c r="D186" s="14" t="s">
        <v>1466</v>
      </c>
      <c r="E186" s="13" t="n">
        <v>32944.02</v>
      </c>
      <c r="F186" s="11" t="s">
        <v>1107</v>
      </c>
      <c r="G186" s="11" t="s">
        <v>1467</v>
      </c>
      <c r="H186" s="11" t="s">
        <v>1109</v>
      </c>
      <c r="I186" s="16" t="s">
        <v>1105</v>
      </c>
    </row>
    <row r="187" customFormat="false" ht="15" hidden="false" customHeight="false" outlineLevel="0" collapsed="false">
      <c r="A187" s="11" t="s">
        <v>226</v>
      </c>
      <c r="B187" s="11" t="s">
        <v>227</v>
      </c>
      <c r="C187" s="11" t="s">
        <v>142</v>
      </c>
      <c r="D187" s="14" t="s">
        <v>229</v>
      </c>
      <c r="E187" s="13" t="n">
        <v>258</v>
      </c>
      <c r="F187" s="11" t="s">
        <v>1107</v>
      </c>
      <c r="G187" s="11" t="s">
        <v>1468</v>
      </c>
      <c r="H187" s="11" t="s">
        <v>1109</v>
      </c>
      <c r="I187" s="16" t="s">
        <v>1105</v>
      </c>
    </row>
    <row r="188" customFormat="false" ht="15" hidden="false" customHeight="false" outlineLevel="0" collapsed="false">
      <c r="A188" s="11" t="s">
        <v>226</v>
      </c>
      <c r="B188" s="11" t="s">
        <v>227</v>
      </c>
      <c r="C188" s="11" t="s">
        <v>142</v>
      </c>
      <c r="D188" s="14" t="s">
        <v>229</v>
      </c>
      <c r="E188" s="13" t="n">
        <v>3543.3</v>
      </c>
      <c r="F188" s="11" t="s">
        <v>1107</v>
      </c>
      <c r="G188" s="11" t="s">
        <v>1469</v>
      </c>
      <c r="H188" s="11" t="s">
        <v>1109</v>
      </c>
      <c r="I188" s="16" t="s">
        <v>1105</v>
      </c>
    </row>
    <row r="189" customFormat="false" ht="15" hidden="false" customHeight="false" outlineLevel="0" collapsed="false">
      <c r="A189" s="11" t="s">
        <v>226</v>
      </c>
      <c r="B189" s="11" t="s">
        <v>227</v>
      </c>
      <c r="C189" s="11" t="s">
        <v>142</v>
      </c>
      <c r="D189" s="14" t="s">
        <v>229</v>
      </c>
      <c r="E189" s="13" t="n">
        <v>13440</v>
      </c>
      <c r="F189" s="11" t="s">
        <v>1107</v>
      </c>
      <c r="G189" s="11" t="s">
        <v>1470</v>
      </c>
      <c r="H189" s="11" t="s">
        <v>1109</v>
      </c>
      <c r="I189" s="16" t="s">
        <v>1105</v>
      </c>
    </row>
    <row r="190" customFormat="false" ht="23.85" hidden="false" customHeight="false" outlineLevel="0" collapsed="false">
      <c r="A190" s="11" t="s">
        <v>226</v>
      </c>
      <c r="B190" s="11" t="s">
        <v>227</v>
      </c>
      <c r="C190" s="11" t="s">
        <v>902</v>
      </c>
      <c r="D190" s="14" t="s">
        <v>1471</v>
      </c>
      <c r="E190" s="13" t="n">
        <v>125556.48</v>
      </c>
      <c r="F190" s="11" t="s">
        <v>1102</v>
      </c>
      <c r="G190" s="11" t="s">
        <v>1472</v>
      </c>
      <c r="H190" s="11" t="s">
        <v>1126</v>
      </c>
      <c r="I190" s="16" t="s">
        <v>1105</v>
      </c>
    </row>
    <row r="191" customFormat="false" ht="15" hidden="false" customHeight="false" outlineLevel="0" collapsed="false">
      <c r="A191" s="11" t="s">
        <v>226</v>
      </c>
      <c r="B191" s="11" t="s">
        <v>227</v>
      </c>
      <c r="C191" s="11" t="s">
        <v>1414</v>
      </c>
      <c r="D191" s="14" t="s">
        <v>1473</v>
      </c>
      <c r="E191" s="13" t="n">
        <v>15103.17</v>
      </c>
      <c r="F191" s="11" t="s">
        <v>1112</v>
      </c>
      <c r="G191" s="11" t="s">
        <v>1474</v>
      </c>
      <c r="H191" s="11" t="s">
        <v>1109</v>
      </c>
      <c r="I191" s="16" t="s">
        <v>1105</v>
      </c>
    </row>
    <row r="192" customFormat="false" ht="23.85" hidden="false" customHeight="false" outlineLevel="0" collapsed="false">
      <c r="A192" s="11" t="s">
        <v>230</v>
      </c>
      <c r="B192" s="11" t="s">
        <v>231</v>
      </c>
      <c r="C192" s="11" t="s">
        <v>164</v>
      </c>
      <c r="D192" s="14" t="s">
        <v>71</v>
      </c>
      <c r="E192" s="13" t="n">
        <v>8398.72</v>
      </c>
      <c r="F192" s="11" t="s">
        <v>1102</v>
      </c>
      <c r="G192" s="11" t="s">
        <v>1136</v>
      </c>
      <c r="H192" s="11" t="s">
        <v>1104</v>
      </c>
      <c r="I192" s="16" t="s">
        <v>1105</v>
      </c>
    </row>
    <row r="193" customFormat="false" ht="15" hidden="false" customHeight="false" outlineLevel="0" collapsed="false">
      <c r="A193" s="11" t="s">
        <v>230</v>
      </c>
      <c r="B193" s="11" t="s">
        <v>231</v>
      </c>
      <c r="C193" s="11" t="s">
        <v>60</v>
      </c>
      <c r="D193" s="14" t="s">
        <v>1475</v>
      </c>
      <c r="E193" s="13" t="n">
        <v>27700</v>
      </c>
      <c r="F193" s="11" t="s">
        <v>1112</v>
      </c>
      <c r="G193" s="11" t="s">
        <v>1476</v>
      </c>
      <c r="H193" s="11" t="s">
        <v>1109</v>
      </c>
      <c r="I193" s="16" t="s">
        <v>1105</v>
      </c>
    </row>
    <row r="194" customFormat="false" ht="23.85" hidden="false" customHeight="false" outlineLevel="0" collapsed="false">
      <c r="A194" s="11" t="s">
        <v>230</v>
      </c>
      <c r="B194" s="11" t="s">
        <v>231</v>
      </c>
      <c r="C194" s="11" t="s">
        <v>179</v>
      </c>
      <c r="D194" s="14" t="s">
        <v>1477</v>
      </c>
      <c r="E194" s="13" t="n">
        <v>27109</v>
      </c>
      <c r="F194" s="11" t="s">
        <v>1112</v>
      </c>
      <c r="G194" s="11" t="s">
        <v>1478</v>
      </c>
      <c r="H194" s="11" t="s">
        <v>1109</v>
      </c>
      <c r="I194" s="16" t="s">
        <v>1105</v>
      </c>
    </row>
    <row r="195" customFormat="false" ht="23.85" hidden="false" customHeight="false" outlineLevel="0" collapsed="false">
      <c r="A195" s="11" t="s">
        <v>230</v>
      </c>
      <c r="B195" s="11" t="s">
        <v>231</v>
      </c>
      <c r="C195" s="11" t="s">
        <v>197</v>
      </c>
      <c r="D195" s="14" t="s">
        <v>1479</v>
      </c>
      <c r="E195" s="13" t="n">
        <v>6500</v>
      </c>
      <c r="F195" s="11" t="s">
        <v>1112</v>
      </c>
      <c r="G195" s="11" t="s">
        <v>1480</v>
      </c>
      <c r="H195" s="11" t="s">
        <v>1109</v>
      </c>
      <c r="I195" s="16" t="s">
        <v>1105</v>
      </c>
    </row>
    <row r="196" customFormat="false" ht="15" hidden="false" customHeight="false" outlineLevel="0" collapsed="false">
      <c r="A196" s="11" t="s">
        <v>230</v>
      </c>
      <c r="B196" s="11" t="s">
        <v>231</v>
      </c>
      <c r="C196" s="11" t="s">
        <v>207</v>
      </c>
      <c r="D196" s="14" t="s">
        <v>1481</v>
      </c>
      <c r="E196" s="13" t="n">
        <v>8600</v>
      </c>
      <c r="F196" s="11" t="s">
        <v>1112</v>
      </c>
      <c r="G196" s="11" t="s">
        <v>1482</v>
      </c>
      <c r="H196" s="11" t="s">
        <v>1146</v>
      </c>
      <c r="I196" s="16" t="s">
        <v>1105</v>
      </c>
    </row>
    <row r="197" customFormat="false" ht="23.85" hidden="false" customHeight="false" outlineLevel="0" collapsed="false">
      <c r="A197" s="11" t="s">
        <v>233</v>
      </c>
      <c r="B197" s="11" t="s">
        <v>234</v>
      </c>
      <c r="C197" s="11" t="s">
        <v>236</v>
      </c>
      <c r="D197" s="14" t="s">
        <v>237</v>
      </c>
      <c r="E197" s="13" t="n">
        <v>1476</v>
      </c>
      <c r="F197" s="11" t="s">
        <v>1112</v>
      </c>
      <c r="G197" s="11" t="s">
        <v>1483</v>
      </c>
      <c r="H197" s="11" t="s">
        <v>1109</v>
      </c>
      <c r="I197" s="16" t="s">
        <v>1105</v>
      </c>
    </row>
    <row r="198" customFormat="false" ht="23.85" hidden="false" customHeight="false" outlineLevel="0" collapsed="false">
      <c r="A198" s="11" t="s">
        <v>233</v>
      </c>
      <c r="B198" s="11" t="s">
        <v>234</v>
      </c>
      <c r="C198" s="11" t="s">
        <v>315</v>
      </c>
      <c r="D198" s="14" t="s">
        <v>1484</v>
      </c>
      <c r="E198" s="13" t="n">
        <v>4768.82</v>
      </c>
      <c r="F198" s="11" t="s">
        <v>1107</v>
      </c>
      <c r="G198" s="11" t="s">
        <v>1485</v>
      </c>
      <c r="H198" s="11" t="s">
        <v>1486</v>
      </c>
      <c r="I198" s="16" t="s">
        <v>1105</v>
      </c>
    </row>
    <row r="199" customFormat="false" ht="35.05" hidden="false" customHeight="false" outlineLevel="0" collapsed="false">
      <c r="A199" s="11" t="s">
        <v>233</v>
      </c>
      <c r="B199" s="11" t="s">
        <v>234</v>
      </c>
      <c r="C199" s="11" t="s">
        <v>581</v>
      </c>
      <c r="D199" s="14" t="s">
        <v>1487</v>
      </c>
      <c r="E199" s="13" t="n">
        <v>7000</v>
      </c>
      <c r="F199" s="11" t="s">
        <v>1112</v>
      </c>
      <c r="G199" s="11" t="s">
        <v>1488</v>
      </c>
      <c r="H199" s="11" t="s">
        <v>1109</v>
      </c>
      <c r="I199" s="16" t="s">
        <v>1105</v>
      </c>
    </row>
    <row r="200" customFormat="false" ht="23.85" hidden="false" customHeight="false" outlineLevel="0" collapsed="false">
      <c r="A200" s="11" t="s">
        <v>233</v>
      </c>
      <c r="B200" s="11" t="s">
        <v>234</v>
      </c>
      <c r="C200" s="11" t="s">
        <v>1489</v>
      </c>
      <c r="D200" s="14" t="s">
        <v>1490</v>
      </c>
      <c r="E200" s="13" t="n">
        <v>5243.56</v>
      </c>
      <c r="F200" s="11" t="s">
        <v>1112</v>
      </c>
      <c r="G200" s="11" t="s">
        <v>1491</v>
      </c>
      <c r="H200" s="11" t="s">
        <v>1104</v>
      </c>
      <c r="I200" s="16" t="s">
        <v>1105</v>
      </c>
    </row>
    <row r="201" customFormat="false" ht="23.85" hidden="false" customHeight="false" outlineLevel="0" collapsed="false">
      <c r="A201" s="11" t="s">
        <v>233</v>
      </c>
      <c r="B201" s="11" t="s">
        <v>234</v>
      </c>
      <c r="C201" s="11" t="s">
        <v>1492</v>
      </c>
      <c r="D201" s="14" t="s">
        <v>1493</v>
      </c>
      <c r="E201" s="13" t="n">
        <v>7872.33</v>
      </c>
      <c r="F201" s="11" t="s">
        <v>1107</v>
      </c>
      <c r="G201" s="11" t="s">
        <v>1494</v>
      </c>
      <c r="H201" s="11" t="s">
        <v>1486</v>
      </c>
      <c r="I201" s="16" t="s">
        <v>1105</v>
      </c>
    </row>
    <row r="202" customFormat="false" ht="15" hidden="false" customHeight="false" outlineLevel="0" collapsed="false">
      <c r="A202" s="11" t="s">
        <v>238</v>
      </c>
      <c r="B202" s="11" t="s">
        <v>239</v>
      </c>
      <c r="C202" s="11" t="s">
        <v>241</v>
      </c>
      <c r="D202" s="14" t="s">
        <v>242</v>
      </c>
      <c r="E202" s="13" t="n">
        <v>19990</v>
      </c>
      <c r="F202" s="11" t="s">
        <v>1112</v>
      </c>
      <c r="G202" s="11" t="s">
        <v>1495</v>
      </c>
      <c r="H202" s="11" t="s">
        <v>1146</v>
      </c>
      <c r="I202" s="16" t="s">
        <v>1105</v>
      </c>
    </row>
    <row r="203" customFormat="false" ht="23.85" hidden="false" customHeight="false" outlineLevel="0" collapsed="false">
      <c r="A203" s="11" t="s">
        <v>238</v>
      </c>
      <c r="B203" s="11" t="s">
        <v>239</v>
      </c>
      <c r="C203" s="11" t="s">
        <v>85</v>
      </c>
      <c r="D203" s="14" t="s">
        <v>1496</v>
      </c>
      <c r="E203" s="13" t="n">
        <v>12400</v>
      </c>
      <c r="F203" s="11" t="s">
        <v>1112</v>
      </c>
      <c r="G203" s="11" t="s">
        <v>1497</v>
      </c>
      <c r="H203" s="11" t="s">
        <v>1146</v>
      </c>
      <c r="I203" s="16" t="s">
        <v>1105</v>
      </c>
    </row>
    <row r="204" customFormat="false" ht="23.85" hidden="false" customHeight="false" outlineLevel="0" collapsed="false">
      <c r="A204" s="11" t="s">
        <v>238</v>
      </c>
      <c r="B204" s="11" t="s">
        <v>239</v>
      </c>
      <c r="C204" s="11" t="s">
        <v>343</v>
      </c>
      <c r="D204" s="14" t="s">
        <v>1498</v>
      </c>
      <c r="E204" s="13" t="n">
        <v>73800</v>
      </c>
      <c r="F204" s="11" t="s">
        <v>1107</v>
      </c>
      <c r="G204" s="11" t="s">
        <v>1499</v>
      </c>
      <c r="H204" s="11" t="s">
        <v>1146</v>
      </c>
      <c r="I204" s="16" t="s">
        <v>1105</v>
      </c>
    </row>
    <row r="205" customFormat="false" ht="23.85" hidden="false" customHeight="false" outlineLevel="0" collapsed="false">
      <c r="A205" s="11" t="s">
        <v>238</v>
      </c>
      <c r="B205" s="11" t="s">
        <v>239</v>
      </c>
      <c r="C205" s="11" t="s">
        <v>1500</v>
      </c>
      <c r="D205" s="14" t="s">
        <v>1501</v>
      </c>
      <c r="E205" s="13" t="n">
        <v>24305.99</v>
      </c>
      <c r="F205" s="11" t="s">
        <v>1102</v>
      </c>
      <c r="G205" s="11" t="s">
        <v>1502</v>
      </c>
      <c r="H205" s="11" t="s">
        <v>1104</v>
      </c>
      <c r="I205" s="16" t="s">
        <v>1105</v>
      </c>
    </row>
    <row r="206" customFormat="false" ht="15" hidden="false" customHeight="false" outlineLevel="0" collapsed="false">
      <c r="A206" s="11" t="s">
        <v>238</v>
      </c>
      <c r="B206" s="11" t="s">
        <v>239</v>
      </c>
      <c r="C206" s="11" t="s">
        <v>1503</v>
      </c>
      <c r="D206" s="14" t="s">
        <v>1504</v>
      </c>
      <c r="E206" s="13" t="n">
        <v>22662.4</v>
      </c>
      <c r="F206" s="11" t="s">
        <v>1112</v>
      </c>
      <c r="G206" s="11" t="s">
        <v>1505</v>
      </c>
      <c r="H206" s="11" t="s">
        <v>1104</v>
      </c>
      <c r="I206" s="16" t="s">
        <v>1105</v>
      </c>
    </row>
    <row r="207" customFormat="false" ht="23.85" hidden="false" customHeight="false" outlineLevel="0" collapsed="false">
      <c r="A207" s="11" t="s">
        <v>243</v>
      </c>
      <c r="B207" s="11" t="s">
        <v>244</v>
      </c>
      <c r="C207" s="11" t="s">
        <v>95</v>
      </c>
      <c r="D207" s="14" t="s">
        <v>246</v>
      </c>
      <c r="E207" s="13" t="n">
        <v>10000</v>
      </c>
      <c r="F207" s="11" t="s">
        <v>1112</v>
      </c>
      <c r="G207" s="11" t="s">
        <v>1506</v>
      </c>
      <c r="H207" s="11" t="s">
        <v>1146</v>
      </c>
      <c r="I207" s="16" t="s">
        <v>1105</v>
      </c>
    </row>
    <row r="208" customFormat="false" ht="23.85" hidden="false" customHeight="false" outlineLevel="0" collapsed="false">
      <c r="A208" s="11" t="s">
        <v>243</v>
      </c>
      <c r="B208" s="11" t="s">
        <v>244</v>
      </c>
      <c r="C208" s="11" t="s">
        <v>1507</v>
      </c>
      <c r="D208" s="14" t="s">
        <v>1508</v>
      </c>
      <c r="E208" s="13" t="n">
        <v>15000</v>
      </c>
      <c r="F208" s="11" t="s">
        <v>1112</v>
      </c>
      <c r="G208" s="11" t="s">
        <v>1509</v>
      </c>
      <c r="H208" s="11" t="s">
        <v>1109</v>
      </c>
      <c r="I208" s="16" t="s">
        <v>1105</v>
      </c>
    </row>
    <row r="209" customFormat="false" ht="23.85" hidden="false" customHeight="false" outlineLevel="0" collapsed="false">
      <c r="A209" s="11" t="s">
        <v>243</v>
      </c>
      <c r="B209" s="11" t="s">
        <v>244</v>
      </c>
      <c r="C209" s="11" t="s">
        <v>169</v>
      </c>
      <c r="D209" s="14" t="s">
        <v>1510</v>
      </c>
      <c r="E209" s="13" t="n">
        <v>36120</v>
      </c>
      <c r="F209" s="11" t="s">
        <v>1107</v>
      </c>
      <c r="G209" s="11" t="s">
        <v>1511</v>
      </c>
      <c r="H209" s="11" t="s">
        <v>1146</v>
      </c>
      <c r="I209" s="16" t="s">
        <v>1105</v>
      </c>
    </row>
    <row r="210" customFormat="false" ht="23.85" hidden="false" customHeight="false" outlineLevel="0" collapsed="false">
      <c r="A210" s="11" t="s">
        <v>243</v>
      </c>
      <c r="B210" s="11" t="s">
        <v>244</v>
      </c>
      <c r="C210" s="11" t="s">
        <v>1512</v>
      </c>
      <c r="D210" s="14" t="s">
        <v>1513</v>
      </c>
      <c r="E210" s="13" t="n">
        <v>19936.02</v>
      </c>
      <c r="F210" s="11" t="s">
        <v>1112</v>
      </c>
      <c r="G210" s="11" t="s">
        <v>1514</v>
      </c>
      <c r="H210" s="11" t="s">
        <v>1104</v>
      </c>
      <c r="I210" s="16" t="s">
        <v>1105</v>
      </c>
    </row>
    <row r="211" customFormat="false" ht="23.85" hidden="false" customHeight="false" outlineLevel="0" collapsed="false">
      <c r="A211" s="11" t="s">
        <v>243</v>
      </c>
      <c r="B211" s="11" t="s">
        <v>244</v>
      </c>
      <c r="C211" s="11" t="s">
        <v>1515</v>
      </c>
      <c r="D211" s="14" t="s">
        <v>1516</v>
      </c>
      <c r="E211" s="13" t="n">
        <v>19950</v>
      </c>
      <c r="F211" s="11" t="s">
        <v>1112</v>
      </c>
      <c r="G211" s="11" t="s">
        <v>1517</v>
      </c>
      <c r="H211" s="11" t="s">
        <v>1109</v>
      </c>
      <c r="I211" s="16" t="s">
        <v>1105</v>
      </c>
    </row>
    <row r="212" customFormat="false" ht="23.85" hidden="false" customHeight="false" outlineLevel="0" collapsed="false">
      <c r="A212" s="11" t="s">
        <v>247</v>
      </c>
      <c r="B212" s="11" t="s">
        <v>248</v>
      </c>
      <c r="C212" s="11" t="s">
        <v>155</v>
      </c>
      <c r="D212" s="14" t="s">
        <v>250</v>
      </c>
      <c r="E212" s="13" t="n">
        <v>19200</v>
      </c>
      <c r="F212" s="11" t="s">
        <v>1112</v>
      </c>
      <c r="G212" s="11" t="s">
        <v>1518</v>
      </c>
      <c r="H212" s="11" t="s">
        <v>1146</v>
      </c>
      <c r="I212" s="16" t="s">
        <v>1105</v>
      </c>
    </row>
    <row r="213" customFormat="false" ht="23.85" hidden="false" customHeight="false" outlineLevel="0" collapsed="false">
      <c r="A213" s="11" t="s">
        <v>247</v>
      </c>
      <c r="B213" s="11" t="s">
        <v>248</v>
      </c>
      <c r="C213" s="11" t="s">
        <v>1379</v>
      </c>
      <c r="D213" s="14" t="s">
        <v>1519</v>
      </c>
      <c r="E213" s="13" t="n">
        <v>52750</v>
      </c>
      <c r="F213" s="11" t="s">
        <v>1107</v>
      </c>
      <c r="G213" s="11" t="s">
        <v>1520</v>
      </c>
      <c r="H213" s="11" t="s">
        <v>1146</v>
      </c>
      <c r="I213" s="16" t="s">
        <v>1105</v>
      </c>
    </row>
    <row r="214" customFormat="false" ht="23.85" hidden="false" customHeight="false" outlineLevel="0" collapsed="false">
      <c r="A214" s="11" t="s">
        <v>247</v>
      </c>
      <c r="B214" s="11" t="s">
        <v>248</v>
      </c>
      <c r="C214" s="11" t="s">
        <v>325</v>
      </c>
      <c r="D214" s="14" t="s">
        <v>1521</v>
      </c>
      <c r="E214" s="13" t="n">
        <v>7000</v>
      </c>
      <c r="F214" s="11" t="s">
        <v>1112</v>
      </c>
      <c r="G214" s="11" t="s">
        <v>1522</v>
      </c>
      <c r="H214" s="11" t="s">
        <v>1146</v>
      </c>
      <c r="I214" s="16" t="s">
        <v>1105</v>
      </c>
    </row>
    <row r="215" customFormat="false" ht="23.85" hidden="false" customHeight="false" outlineLevel="0" collapsed="false">
      <c r="A215" s="11" t="s">
        <v>247</v>
      </c>
      <c r="B215" s="11" t="s">
        <v>248</v>
      </c>
      <c r="C215" s="11" t="s">
        <v>375</v>
      </c>
      <c r="D215" s="14" t="s">
        <v>1523</v>
      </c>
      <c r="E215" s="13" t="n">
        <v>8500</v>
      </c>
      <c r="F215" s="11" t="s">
        <v>1112</v>
      </c>
      <c r="G215" s="11" t="s">
        <v>1418</v>
      </c>
      <c r="H215" s="11" t="s">
        <v>1109</v>
      </c>
      <c r="I215" s="16" t="s">
        <v>1105</v>
      </c>
    </row>
    <row r="216" customFormat="false" ht="23.85" hidden="false" customHeight="false" outlineLevel="0" collapsed="false">
      <c r="A216" s="11" t="s">
        <v>247</v>
      </c>
      <c r="B216" s="11" t="s">
        <v>248</v>
      </c>
      <c r="C216" s="11" t="s">
        <v>1524</v>
      </c>
      <c r="D216" s="14" t="s">
        <v>1525</v>
      </c>
      <c r="E216" s="13" t="n">
        <v>2300</v>
      </c>
      <c r="F216" s="11" t="s">
        <v>1107</v>
      </c>
      <c r="G216" s="11" t="s">
        <v>1526</v>
      </c>
      <c r="H216" s="11" t="s">
        <v>1109</v>
      </c>
      <c r="I216" s="16" t="s">
        <v>1105</v>
      </c>
    </row>
    <row r="217" customFormat="false" ht="23.85" hidden="false" customHeight="false" outlineLevel="0" collapsed="false">
      <c r="A217" s="11" t="s">
        <v>251</v>
      </c>
      <c r="B217" s="11" t="s">
        <v>252</v>
      </c>
      <c r="C217" s="11" t="s">
        <v>241</v>
      </c>
      <c r="D217" s="14" t="s">
        <v>254</v>
      </c>
      <c r="E217" s="13" t="n">
        <v>2197.14</v>
      </c>
      <c r="F217" s="11" t="s">
        <v>1112</v>
      </c>
      <c r="G217" s="11" t="s">
        <v>1483</v>
      </c>
      <c r="H217" s="11" t="s">
        <v>1109</v>
      </c>
      <c r="I217" s="16" t="s">
        <v>1105</v>
      </c>
    </row>
    <row r="218" customFormat="false" ht="23.85" hidden="false" customHeight="false" outlineLevel="0" collapsed="false">
      <c r="A218" s="11" t="s">
        <v>251</v>
      </c>
      <c r="B218" s="11" t="s">
        <v>252</v>
      </c>
      <c r="C218" s="11" t="s">
        <v>1527</v>
      </c>
      <c r="D218" s="14" t="s">
        <v>1528</v>
      </c>
      <c r="E218" s="13" t="n">
        <v>41000</v>
      </c>
      <c r="F218" s="11" t="s">
        <v>1107</v>
      </c>
      <c r="G218" s="11" t="s">
        <v>1529</v>
      </c>
      <c r="H218" s="11" t="s">
        <v>1146</v>
      </c>
      <c r="I218" s="16" t="s">
        <v>1105</v>
      </c>
    </row>
    <row r="219" customFormat="false" ht="23.85" hidden="false" customHeight="false" outlineLevel="0" collapsed="false">
      <c r="A219" s="11" t="s">
        <v>251</v>
      </c>
      <c r="B219" s="11" t="s">
        <v>252</v>
      </c>
      <c r="C219" s="11" t="s">
        <v>1530</v>
      </c>
      <c r="D219" s="14" t="s">
        <v>1531</v>
      </c>
      <c r="E219" s="13" t="n">
        <v>14912.5</v>
      </c>
      <c r="F219" s="11" t="s">
        <v>1112</v>
      </c>
      <c r="G219" s="11" t="s">
        <v>1532</v>
      </c>
      <c r="H219" s="11" t="s">
        <v>1146</v>
      </c>
      <c r="I219" s="16" t="s">
        <v>1105</v>
      </c>
    </row>
    <row r="220" customFormat="false" ht="23.85" hidden="false" customHeight="false" outlineLevel="0" collapsed="false">
      <c r="A220" s="11" t="s">
        <v>251</v>
      </c>
      <c r="B220" s="11" t="s">
        <v>252</v>
      </c>
      <c r="C220" s="11" t="s">
        <v>1530</v>
      </c>
      <c r="D220" s="14" t="s">
        <v>1533</v>
      </c>
      <c r="E220" s="13" t="n">
        <v>17447</v>
      </c>
      <c r="F220" s="11" t="s">
        <v>1112</v>
      </c>
      <c r="G220" s="11" t="s">
        <v>1534</v>
      </c>
      <c r="H220" s="11" t="s">
        <v>1133</v>
      </c>
      <c r="I220" s="16" t="s">
        <v>1105</v>
      </c>
    </row>
    <row r="221" customFormat="false" ht="23.85" hidden="false" customHeight="false" outlineLevel="0" collapsed="false">
      <c r="A221" s="11" t="s">
        <v>251</v>
      </c>
      <c r="B221" s="11" t="s">
        <v>252</v>
      </c>
      <c r="C221" s="11" t="s">
        <v>1535</v>
      </c>
      <c r="D221" s="14" t="s">
        <v>1536</v>
      </c>
      <c r="E221" s="13" t="n">
        <v>31303.75</v>
      </c>
      <c r="F221" s="11" t="s">
        <v>1112</v>
      </c>
      <c r="G221" s="11" t="s">
        <v>1537</v>
      </c>
      <c r="H221" s="11" t="s">
        <v>1109</v>
      </c>
      <c r="I221" s="16" t="s">
        <v>1105</v>
      </c>
    </row>
    <row r="222" customFormat="false" ht="15" hidden="false" customHeight="false" outlineLevel="0" collapsed="false">
      <c r="A222" s="11" t="s">
        <v>255</v>
      </c>
      <c r="B222" s="11" t="s">
        <v>256</v>
      </c>
      <c r="C222" s="11" t="s">
        <v>258</v>
      </c>
      <c r="D222" s="14" t="s">
        <v>259</v>
      </c>
      <c r="E222" s="13" t="n">
        <v>11070</v>
      </c>
      <c r="F222" s="11" t="s">
        <v>1107</v>
      </c>
      <c r="G222" s="11" t="s">
        <v>1538</v>
      </c>
      <c r="H222" s="11" t="s">
        <v>1104</v>
      </c>
      <c r="I222" s="16" t="s">
        <v>1105</v>
      </c>
    </row>
    <row r="223" customFormat="false" ht="23.85" hidden="false" customHeight="false" outlineLevel="0" collapsed="false">
      <c r="A223" s="11" t="s">
        <v>255</v>
      </c>
      <c r="B223" s="11" t="s">
        <v>256</v>
      </c>
      <c r="C223" s="11" t="s">
        <v>1539</v>
      </c>
      <c r="D223" s="14" t="s">
        <v>1540</v>
      </c>
      <c r="E223" s="13" t="n">
        <v>29947</v>
      </c>
      <c r="F223" s="11" t="s">
        <v>1112</v>
      </c>
      <c r="G223" s="11" t="s">
        <v>1303</v>
      </c>
      <c r="H223" s="11" t="s">
        <v>1104</v>
      </c>
      <c r="I223" s="16" t="s">
        <v>1105</v>
      </c>
    </row>
    <row r="224" customFormat="false" ht="15" hidden="false" customHeight="false" outlineLevel="0" collapsed="false">
      <c r="A224" s="11" t="s">
        <v>255</v>
      </c>
      <c r="B224" s="11" t="s">
        <v>256</v>
      </c>
      <c r="C224" s="11" t="s">
        <v>1541</v>
      </c>
      <c r="D224" s="14" t="s">
        <v>1542</v>
      </c>
      <c r="E224" s="13" t="n">
        <v>12300</v>
      </c>
      <c r="F224" s="11" t="s">
        <v>1112</v>
      </c>
      <c r="G224" s="11" t="s">
        <v>1543</v>
      </c>
      <c r="H224" s="11" t="s">
        <v>1146</v>
      </c>
      <c r="I224" s="16" t="s">
        <v>1105</v>
      </c>
    </row>
    <row r="225" customFormat="false" ht="15" hidden="false" customHeight="false" outlineLevel="0" collapsed="false">
      <c r="A225" s="11" t="s">
        <v>255</v>
      </c>
      <c r="B225" s="11" t="s">
        <v>256</v>
      </c>
      <c r="C225" s="11" t="s">
        <v>1544</v>
      </c>
      <c r="D225" s="14" t="s">
        <v>1545</v>
      </c>
      <c r="E225" s="13" t="n">
        <v>24990</v>
      </c>
      <c r="F225" s="11" t="s">
        <v>1112</v>
      </c>
      <c r="G225" s="11" t="s">
        <v>1546</v>
      </c>
      <c r="H225" s="11" t="s">
        <v>1109</v>
      </c>
      <c r="I225" s="16" t="s">
        <v>1105</v>
      </c>
    </row>
    <row r="226" customFormat="false" ht="23.85" hidden="false" customHeight="false" outlineLevel="0" collapsed="false">
      <c r="A226" s="11" t="s">
        <v>255</v>
      </c>
      <c r="B226" s="11" t="s">
        <v>256</v>
      </c>
      <c r="C226" s="11" t="s">
        <v>1547</v>
      </c>
      <c r="D226" s="14" t="s">
        <v>1548</v>
      </c>
      <c r="E226" s="13" t="n">
        <v>32400</v>
      </c>
      <c r="F226" s="11" t="s">
        <v>1107</v>
      </c>
      <c r="G226" s="11" t="s">
        <v>1549</v>
      </c>
      <c r="H226" s="11" t="s">
        <v>1109</v>
      </c>
      <c r="I226" s="16" t="s">
        <v>1105</v>
      </c>
    </row>
    <row r="227" customFormat="false" ht="23.85" hidden="false" customHeight="false" outlineLevel="0" collapsed="false">
      <c r="A227" s="11" t="s">
        <v>260</v>
      </c>
      <c r="B227" s="11" t="s">
        <v>261</v>
      </c>
      <c r="C227" s="11" t="s">
        <v>263</v>
      </c>
      <c r="D227" s="14" t="s">
        <v>264</v>
      </c>
      <c r="E227" s="13" t="n">
        <v>19900</v>
      </c>
      <c r="F227" s="11" t="s">
        <v>1112</v>
      </c>
      <c r="G227" s="11" t="s">
        <v>1326</v>
      </c>
      <c r="H227" s="11" t="s">
        <v>1146</v>
      </c>
      <c r="I227" s="16" t="s">
        <v>1105</v>
      </c>
    </row>
    <row r="228" customFormat="false" ht="23.85" hidden="false" customHeight="false" outlineLevel="0" collapsed="false">
      <c r="A228" s="11" t="s">
        <v>260</v>
      </c>
      <c r="B228" s="11" t="s">
        <v>261</v>
      </c>
      <c r="C228" s="11" t="s">
        <v>762</v>
      </c>
      <c r="D228" s="14" t="s">
        <v>1550</v>
      </c>
      <c r="E228" s="13" t="n">
        <v>5750</v>
      </c>
      <c r="F228" s="11" t="s">
        <v>1112</v>
      </c>
      <c r="G228" s="11" t="s">
        <v>1551</v>
      </c>
      <c r="H228" s="11" t="s">
        <v>1146</v>
      </c>
      <c r="I228" s="16" t="s">
        <v>1105</v>
      </c>
    </row>
    <row r="229" customFormat="false" ht="15" hidden="false" customHeight="false" outlineLevel="0" collapsed="false">
      <c r="A229" s="11" t="s">
        <v>260</v>
      </c>
      <c r="B229" s="11" t="s">
        <v>261</v>
      </c>
      <c r="C229" s="11" t="s">
        <v>1552</v>
      </c>
      <c r="D229" s="14" t="s">
        <v>1553</v>
      </c>
      <c r="E229" s="13" t="n">
        <v>8887.78</v>
      </c>
      <c r="F229" s="11" t="s">
        <v>1107</v>
      </c>
      <c r="G229" s="11" t="s">
        <v>1554</v>
      </c>
      <c r="H229" s="11" t="s">
        <v>1109</v>
      </c>
      <c r="I229" s="16" t="s">
        <v>1105</v>
      </c>
    </row>
    <row r="230" customFormat="false" ht="23.85" hidden="false" customHeight="false" outlineLevel="0" collapsed="false">
      <c r="A230" s="11" t="s">
        <v>260</v>
      </c>
      <c r="B230" s="11" t="s">
        <v>261</v>
      </c>
      <c r="C230" s="11" t="s">
        <v>1555</v>
      </c>
      <c r="D230" s="14" t="s">
        <v>1556</v>
      </c>
      <c r="E230" s="13" t="n">
        <v>14254.32</v>
      </c>
      <c r="F230" s="11" t="s">
        <v>1107</v>
      </c>
      <c r="G230" s="11" t="s">
        <v>1557</v>
      </c>
      <c r="H230" s="11" t="s">
        <v>1104</v>
      </c>
      <c r="I230" s="16" t="s">
        <v>1105</v>
      </c>
    </row>
    <row r="231" customFormat="false" ht="23.85" hidden="false" customHeight="false" outlineLevel="0" collapsed="false">
      <c r="A231" s="11" t="s">
        <v>260</v>
      </c>
      <c r="B231" s="11" t="s">
        <v>261</v>
      </c>
      <c r="C231" s="11" t="s">
        <v>1558</v>
      </c>
      <c r="D231" s="14" t="s">
        <v>1559</v>
      </c>
      <c r="E231" s="13" t="n">
        <v>177393.43</v>
      </c>
      <c r="F231" s="11" t="s">
        <v>1102</v>
      </c>
      <c r="G231" s="11" t="s">
        <v>1554</v>
      </c>
      <c r="H231" s="11" t="s">
        <v>1109</v>
      </c>
      <c r="I231" s="16" t="s">
        <v>1105</v>
      </c>
    </row>
    <row r="232" customFormat="false" ht="23.85" hidden="false" customHeight="false" outlineLevel="0" collapsed="false">
      <c r="A232" s="11" t="s">
        <v>265</v>
      </c>
      <c r="B232" s="11" t="s">
        <v>266</v>
      </c>
      <c r="C232" s="11" t="s">
        <v>132</v>
      </c>
      <c r="D232" s="14" t="s">
        <v>268</v>
      </c>
      <c r="E232" s="13" t="n">
        <v>5700</v>
      </c>
      <c r="F232" s="11" t="s">
        <v>1107</v>
      </c>
      <c r="G232" s="11" t="s">
        <v>1370</v>
      </c>
      <c r="H232" s="11" t="s">
        <v>1146</v>
      </c>
      <c r="I232" s="16" t="s">
        <v>1105</v>
      </c>
    </row>
    <row r="233" customFormat="false" ht="23.85" hidden="false" customHeight="false" outlineLevel="0" collapsed="false">
      <c r="A233" s="11" t="s">
        <v>265</v>
      </c>
      <c r="B233" s="11" t="s">
        <v>266</v>
      </c>
      <c r="C233" s="11" t="s">
        <v>370</v>
      </c>
      <c r="D233" s="14" t="s">
        <v>1560</v>
      </c>
      <c r="E233" s="13" t="n">
        <v>240000</v>
      </c>
      <c r="F233" s="11" t="s">
        <v>1437</v>
      </c>
      <c r="G233" s="11" t="s">
        <v>1561</v>
      </c>
      <c r="H233" s="11" t="s">
        <v>1146</v>
      </c>
      <c r="I233" s="16" t="s">
        <v>1105</v>
      </c>
    </row>
    <row r="234" customFormat="false" ht="23.85" hidden="false" customHeight="false" outlineLevel="0" collapsed="false">
      <c r="A234" s="11" t="s">
        <v>265</v>
      </c>
      <c r="B234" s="11" t="s">
        <v>266</v>
      </c>
      <c r="C234" s="11" t="s">
        <v>287</v>
      </c>
      <c r="D234" s="14" t="s">
        <v>1562</v>
      </c>
      <c r="E234" s="13" t="n">
        <v>9782.5</v>
      </c>
      <c r="F234" s="11" t="s">
        <v>1112</v>
      </c>
      <c r="G234" s="11" t="s">
        <v>1506</v>
      </c>
      <c r="H234" s="11" t="s">
        <v>1146</v>
      </c>
      <c r="I234" s="16" t="s">
        <v>1105</v>
      </c>
    </row>
    <row r="235" customFormat="false" ht="23.85" hidden="false" customHeight="false" outlineLevel="0" collapsed="false">
      <c r="A235" s="11" t="s">
        <v>265</v>
      </c>
      <c r="B235" s="11" t="s">
        <v>266</v>
      </c>
      <c r="C235" s="11" t="s">
        <v>1563</v>
      </c>
      <c r="D235" s="14" t="s">
        <v>1564</v>
      </c>
      <c r="E235" s="13" t="n">
        <v>19900</v>
      </c>
      <c r="F235" s="11" t="s">
        <v>1107</v>
      </c>
      <c r="G235" s="11" t="s">
        <v>1565</v>
      </c>
      <c r="H235" s="11" t="s">
        <v>1146</v>
      </c>
      <c r="I235" s="16" t="s">
        <v>1105</v>
      </c>
    </row>
    <row r="236" customFormat="false" ht="23.85" hidden="false" customHeight="false" outlineLevel="0" collapsed="false">
      <c r="A236" s="11" t="s">
        <v>265</v>
      </c>
      <c r="B236" s="11" t="s">
        <v>266</v>
      </c>
      <c r="C236" s="11" t="s">
        <v>839</v>
      </c>
      <c r="D236" s="14" t="s">
        <v>1566</v>
      </c>
      <c r="E236" s="13" t="n">
        <v>7350</v>
      </c>
      <c r="F236" s="11" t="s">
        <v>1112</v>
      </c>
      <c r="G236" s="11" t="s">
        <v>1506</v>
      </c>
      <c r="H236" s="11" t="s">
        <v>1146</v>
      </c>
      <c r="I236" s="16" t="s">
        <v>1105</v>
      </c>
    </row>
    <row r="237" customFormat="false" ht="23.85" hidden="false" customHeight="false" outlineLevel="0" collapsed="false">
      <c r="A237" s="11" t="s">
        <v>269</v>
      </c>
      <c r="B237" s="11" t="s">
        <v>270</v>
      </c>
      <c r="C237" s="11" t="s">
        <v>272</v>
      </c>
      <c r="D237" s="14" t="s">
        <v>273</v>
      </c>
      <c r="E237" s="13" t="n">
        <v>12030.3</v>
      </c>
      <c r="F237" s="11" t="s">
        <v>1112</v>
      </c>
      <c r="G237" s="11" t="s">
        <v>1145</v>
      </c>
      <c r="H237" s="11" t="s">
        <v>1567</v>
      </c>
      <c r="I237" s="16" t="s">
        <v>1105</v>
      </c>
    </row>
    <row r="238" customFormat="false" ht="23.85" hidden="false" customHeight="false" outlineLevel="0" collapsed="false">
      <c r="A238" s="11" t="s">
        <v>269</v>
      </c>
      <c r="B238" s="11" t="s">
        <v>270</v>
      </c>
      <c r="C238" s="11" t="s">
        <v>1568</v>
      </c>
      <c r="D238" s="14" t="s">
        <v>1569</v>
      </c>
      <c r="E238" s="13" t="n">
        <v>25600</v>
      </c>
      <c r="F238" s="11" t="s">
        <v>1107</v>
      </c>
      <c r="G238" s="11" t="s">
        <v>1395</v>
      </c>
      <c r="H238" s="11" t="s">
        <v>1146</v>
      </c>
      <c r="I238" s="16" t="s">
        <v>1105</v>
      </c>
    </row>
    <row r="239" customFormat="false" ht="23.85" hidden="false" customHeight="false" outlineLevel="0" collapsed="false">
      <c r="A239" s="11" t="s">
        <v>269</v>
      </c>
      <c r="B239" s="11" t="s">
        <v>270</v>
      </c>
      <c r="C239" s="11" t="s">
        <v>1570</v>
      </c>
      <c r="D239" s="14" t="s">
        <v>1571</v>
      </c>
      <c r="E239" s="13" t="n">
        <v>9242</v>
      </c>
      <c r="F239" s="11" t="s">
        <v>1112</v>
      </c>
      <c r="G239" s="11" t="s">
        <v>1572</v>
      </c>
      <c r="H239" s="11" t="s">
        <v>1486</v>
      </c>
      <c r="I239" s="16" t="s">
        <v>1105</v>
      </c>
    </row>
    <row r="240" customFormat="false" ht="15" hidden="false" customHeight="false" outlineLevel="0" collapsed="false">
      <c r="A240" s="11" t="s">
        <v>274</v>
      </c>
      <c r="B240" s="11" t="s">
        <v>275</v>
      </c>
      <c r="C240" s="11" t="s">
        <v>277</v>
      </c>
      <c r="D240" s="14" t="s">
        <v>278</v>
      </c>
      <c r="E240" s="13" t="n">
        <v>3967.68</v>
      </c>
      <c r="F240" s="11" t="s">
        <v>1102</v>
      </c>
      <c r="G240" s="11" t="s">
        <v>1573</v>
      </c>
      <c r="H240" s="11" t="s">
        <v>1126</v>
      </c>
      <c r="I240" s="16" t="s">
        <v>1105</v>
      </c>
    </row>
    <row r="241" customFormat="false" ht="15" hidden="false" customHeight="false" outlineLevel="0" collapsed="false">
      <c r="A241" s="11" t="s">
        <v>274</v>
      </c>
      <c r="B241" s="11" t="s">
        <v>275</v>
      </c>
      <c r="C241" s="11" t="s">
        <v>1574</v>
      </c>
      <c r="D241" s="14" t="s">
        <v>1575</v>
      </c>
      <c r="E241" s="13" t="n">
        <v>27260</v>
      </c>
      <c r="F241" s="11" t="s">
        <v>1102</v>
      </c>
      <c r="G241" s="11" t="s">
        <v>1576</v>
      </c>
      <c r="H241" s="11" t="s">
        <v>1104</v>
      </c>
      <c r="I241" s="16" t="s">
        <v>1105</v>
      </c>
    </row>
    <row r="242" customFormat="false" ht="15" hidden="false" customHeight="false" outlineLevel="0" collapsed="false">
      <c r="A242" s="11" t="s">
        <v>274</v>
      </c>
      <c r="B242" s="11" t="s">
        <v>275</v>
      </c>
      <c r="C242" s="11" t="s">
        <v>920</v>
      </c>
      <c r="D242" s="14" t="s">
        <v>1575</v>
      </c>
      <c r="E242" s="13" t="n">
        <v>36553.72</v>
      </c>
      <c r="F242" s="11" t="s">
        <v>1102</v>
      </c>
      <c r="G242" s="11" t="s">
        <v>1577</v>
      </c>
      <c r="H242" s="11" t="s">
        <v>1104</v>
      </c>
      <c r="I242" s="16" t="s">
        <v>1105</v>
      </c>
    </row>
    <row r="243" customFormat="false" ht="23.85" hidden="false" customHeight="false" outlineLevel="0" collapsed="false">
      <c r="A243" s="11" t="s">
        <v>274</v>
      </c>
      <c r="B243" s="11" t="s">
        <v>275</v>
      </c>
      <c r="C243" s="11" t="s">
        <v>1351</v>
      </c>
      <c r="D243" s="14" t="s">
        <v>1578</v>
      </c>
      <c r="E243" s="13" t="n">
        <v>2500</v>
      </c>
      <c r="F243" s="11" t="s">
        <v>1107</v>
      </c>
      <c r="G243" s="11" t="s">
        <v>1579</v>
      </c>
      <c r="H243" s="11" t="s">
        <v>1146</v>
      </c>
      <c r="I243" s="16" t="s">
        <v>1105</v>
      </c>
    </row>
    <row r="244" customFormat="false" ht="23.85" hidden="false" customHeight="false" outlineLevel="0" collapsed="false">
      <c r="A244" s="11" t="s">
        <v>274</v>
      </c>
      <c r="B244" s="11" t="s">
        <v>275</v>
      </c>
      <c r="C244" s="11" t="s">
        <v>306</v>
      </c>
      <c r="D244" s="14" t="s">
        <v>1580</v>
      </c>
      <c r="E244" s="13" t="n">
        <v>6400</v>
      </c>
      <c r="F244" s="11" t="s">
        <v>1107</v>
      </c>
      <c r="G244" s="11" t="s">
        <v>1581</v>
      </c>
      <c r="H244" s="11" t="s">
        <v>1146</v>
      </c>
      <c r="I244" s="16" t="s">
        <v>1105</v>
      </c>
    </row>
    <row r="245" customFormat="false" ht="15" hidden="false" customHeight="false" outlineLevel="0" collapsed="false">
      <c r="A245" s="11" t="s">
        <v>279</v>
      </c>
      <c r="B245" s="11" t="s">
        <v>280</v>
      </c>
      <c r="C245" s="11" t="s">
        <v>282</v>
      </c>
      <c r="D245" s="14" t="s">
        <v>283</v>
      </c>
      <c r="E245" s="13" t="n">
        <v>68947.42</v>
      </c>
      <c r="F245" s="11" t="s">
        <v>1107</v>
      </c>
      <c r="G245" s="11" t="s">
        <v>1582</v>
      </c>
      <c r="H245" s="11" t="s">
        <v>1109</v>
      </c>
      <c r="I245" s="16" t="s">
        <v>1105</v>
      </c>
    </row>
    <row r="246" customFormat="false" ht="23.85" hidden="false" customHeight="false" outlineLevel="0" collapsed="false">
      <c r="A246" s="11" t="s">
        <v>279</v>
      </c>
      <c r="B246" s="11" t="s">
        <v>280</v>
      </c>
      <c r="C246" s="11" t="s">
        <v>365</v>
      </c>
      <c r="D246" s="14" t="s">
        <v>1583</v>
      </c>
      <c r="E246" s="13" t="n">
        <v>19900</v>
      </c>
      <c r="F246" s="11" t="s">
        <v>1107</v>
      </c>
      <c r="G246" s="11" t="s">
        <v>1584</v>
      </c>
      <c r="H246" s="11" t="s">
        <v>1109</v>
      </c>
      <c r="I246" s="16" t="s">
        <v>1105</v>
      </c>
    </row>
    <row r="247" customFormat="false" ht="23.85" hidden="false" customHeight="false" outlineLevel="0" collapsed="false">
      <c r="A247" s="11" t="s">
        <v>279</v>
      </c>
      <c r="B247" s="11" t="s">
        <v>280</v>
      </c>
      <c r="C247" s="11" t="s">
        <v>1552</v>
      </c>
      <c r="D247" s="14" t="s">
        <v>1585</v>
      </c>
      <c r="E247" s="13" t="n">
        <v>73500</v>
      </c>
      <c r="F247" s="11" t="s">
        <v>1107</v>
      </c>
      <c r="G247" s="11" t="s">
        <v>1586</v>
      </c>
      <c r="H247" s="11" t="s">
        <v>1109</v>
      </c>
      <c r="I247" s="16" t="s">
        <v>1105</v>
      </c>
    </row>
    <row r="248" customFormat="false" ht="15" hidden="false" customHeight="false" outlineLevel="0" collapsed="false">
      <c r="A248" s="11" t="s">
        <v>279</v>
      </c>
      <c r="B248" s="11" t="s">
        <v>280</v>
      </c>
      <c r="C248" s="11" t="s">
        <v>550</v>
      </c>
      <c r="D248" s="14" t="s">
        <v>1587</v>
      </c>
      <c r="E248" s="13" t="n">
        <v>6407.1</v>
      </c>
      <c r="F248" s="11" t="s">
        <v>1112</v>
      </c>
      <c r="G248" s="11" t="s">
        <v>1467</v>
      </c>
      <c r="H248" s="11" t="s">
        <v>1109</v>
      </c>
      <c r="I248" s="16" t="s">
        <v>1105</v>
      </c>
    </row>
    <row r="249" customFormat="false" ht="23.85" hidden="false" customHeight="false" outlineLevel="0" collapsed="false">
      <c r="A249" s="11" t="s">
        <v>279</v>
      </c>
      <c r="B249" s="11" t="s">
        <v>280</v>
      </c>
      <c r="C249" s="11" t="s">
        <v>550</v>
      </c>
      <c r="D249" s="14" t="s">
        <v>1588</v>
      </c>
      <c r="E249" s="13" t="n">
        <v>11500</v>
      </c>
      <c r="F249" s="11" t="s">
        <v>1107</v>
      </c>
      <c r="G249" s="11" t="s">
        <v>1589</v>
      </c>
      <c r="H249" s="11" t="s">
        <v>1109</v>
      </c>
      <c r="I249" s="16" t="s">
        <v>1105</v>
      </c>
    </row>
    <row r="250" customFormat="false" ht="15" hidden="false" customHeight="false" outlineLevel="0" collapsed="false">
      <c r="A250" s="11" t="s">
        <v>284</v>
      </c>
      <c r="B250" s="11" t="s">
        <v>285</v>
      </c>
      <c r="C250" s="11" t="s">
        <v>287</v>
      </c>
      <c r="D250" s="14" t="s">
        <v>288</v>
      </c>
      <c r="E250" s="13" t="n">
        <v>10245.18</v>
      </c>
      <c r="F250" s="11" t="s">
        <v>1107</v>
      </c>
      <c r="G250" s="11" t="s">
        <v>1590</v>
      </c>
      <c r="H250" s="11" t="s">
        <v>1109</v>
      </c>
      <c r="I250" s="16" t="s">
        <v>1105</v>
      </c>
    </row>
    <row r="251" customFormat="false" ht="15" hidden="false" customHeight="false" outlineLevel="0" collapsed="false">
      <c r="A251" s="11" t="s">
        <v>284</v>
      </c>
      <c r="B251" s="11" t="s">
        <v>285</v>
      </c>
      <c r="C251" s="11" t="s">
        <v>287</v>
      </c>
      <c r="D251" s="14" t="s">
        <v>1591</v>
      </c>
      <c r="E251" s="13" t="n">
        <v>9900</v>
      </c>
      <c r="F251" s="11" t="s">
        <v>1107</v>
      </c>
      <c r="G251" s="11" t="s">
        <v>1590</v>
      </c>
      <c r="H251" s="11" t="s">
        <v>1109</v>
      </c>
      <c r="I251" s="16" t="s">
        <v>1105</v>
      </c>
    </row>
    <row r="252" customFormat="false" ht="15" hidden="false" customHeight="false" outlineLevel="0" collapsed="false">
      <c r="A252" s="11" t="s">
        <v>284</v>
      </c>
      <c r="B252" s="11" t="s">
        <v>285</v>
      </c>
      <c r="C252" s="11" t="s">
        <v>1592</v>
      </c>
      <c r="D252" s="14" t="s">
        <v>1593</v>
      </c>
      <c r="E252" s="13" t="n">
        <v>9900</v>
      </c>
      <c r="F252" s="11" t="s">
        <v>1112</v>
      </c>
      <c r="G252" s="11" t="s">
        <v>1594</v>
      </c>
      <c r="H252" s="11" t="s">
        <v>1109</v>
      </c>
      <c r="I252" s="16" t="s">
        <v>1105</v>
      </c>
    </row>
    <row r="253" customFormat="false" ht="15" hidden="false" customHeight="false" outlineLevel="0" collapsed="false">
      <c r="A253" s="11" t="s">
        <v>284</v>
      </c>
      <c r="B253" s="11" t="s">
        <v>285</v>
      </c>
      <c r="C253" s="11" t="s">
        <v>1592</v>
      </c>
      <c r="D253" s="14" t="s">
        <v>1595</v>
      </c>
      <c r="E253" s="13" t="n">
        <v>44151</v>
      </c>
      <c r="F253" s="11" t="s">
        <v>1107</v>
      </c>
      <c r="G253" s="11" t="s">
        <v>1596</v>
      </c>
      <c r="H253" s="11" t="s">
        <v>1109</v>
      </c>
      <c r="I253" s="16" t="s">
        <v>1105</v>
      </c>
    </row>
    <row r="254" customFormat="false" ht="15" hidden="false" customHeight="false" outlineLevel="0" collapsed="false">
      <c r="A254" s="11" t="s">
        <v>284</v>
      </c>
      <c r="B254" s="11" t="s">
        <v>285</v>
      </c>
      <c r="C254" s="11" t="s">
        <v>1597</v>
      </c>
      <c r="D254" s="14" t="s">
        <v>1598</v>
      </c>
      <c r="E254" s="13" t="n">
        <v>58419.28</v>
      </c>
      <c r="F254" s="11" t="s">
        <v>1107</v>
      </c>
      <c r="G254" s="11" t="s">
        <v>1599</v>
      </c>
      <c r="H254" s="11" t="s">
        <v>1109</v>
      </c>
      <c r="I254" s="16" t="s">
        <v>1105</v>
      </c>
    </row>
    <row r="255" customFormat="false" ht="15" hidden="false" customHeight="false" outlineLevel="0" collapsed="false">
      <c r="A255" s="11" t="s">
        <v>289</v>
      </c>
      <c r="B255" s="11" t="s">
        <v>290</v>
      </c>
      <c r="C255" s="11" t="s">
        <v>292</v>
      </c>
      <c r="D255" s="14" t="s">
        <v>293</v>
      </c>
      <c r="E255" s="13" t="n">
        <v>9000</v>
      </c>
      <c r="F255" s="11" t="s">
        <v>1112</v>
      </c>
      <c r="G255" s="11" t="s">
        <v>1600</v>
      </c>
      <c r="H255" s="11" t="s">
        <v>1104</v>
      </c>
      <c r="I255" s="16" t="s">
        <v>1105</v>
      </c>
    </row>
    <row r="256" customFormat="false" ht="15" hidden="false" customHeight="false" outlineLevel="0" collapsed="false">
      <c r="A256" s="11" t="s">
        <v>289</v>
      </c>
      <c r="B256" s="11" t="s">
        <v>290</v>
      </c>
      <c r="C256" s="11" t="s">
        <v>1601</v>
      </c>
      <c r="D256" s="14" t="s">
        <v>1602</v>
      </c>
      <c r="E256" s="13" t="n">
        <v>11296.42</v>
      </c>
      <c r="F256" s="11" t="s">
        <v>1112</v>
      </c>
      <c r="G256" s="11" t="s">
        <v>1603</v>
      </c>
      <c r="H256" s="11" t="s">
        <v>1104</v>
      </c>
      <c r="I256" s="16" t="s">
        <v>1105</v>
      </c>
    </row>
    <row r="257" customFormat="false" ht="23.85" hidden="false" customHeight="false" outlineLevel="0" collapsed="false">
      <c r="A257" s="11" t="s">
        <v>289</v>
      </c>
      <c r="B257" s="11" t="s">
        <v>290</v>
      </c>
      <c r="C257" s="11" t="s">
        <v>1604</v>
      </c>
      <c r="D257" s="14" t="s">
        <v>1605</v>
      </c>
      <c r="E257" s="13" t="n">
        <v>8881.05</v>
      </c>
      <c r="F257" s="11" t="s">
        <v>1112</v>
      </c>
      <c r="G257" s="11" t="s">
        <v>1606</v>
      </c>
      <c r="H257" s="11" t="s">
        <v>1104</v>
      </c>
      <c r="I257" s="16" t="s">
        <v>1105</v>
      </c>
    </row>
    <row r="258" customFormat="false" ht="23.85" hidden="false" customHeight="false" outlineLevel="0" collapsed="false">
      <c r="A258" s="11" t="s">
        <v>289</v>
      </c>
      <c r="B258" s="11" t="s">
        <v>290</v>
      </c>
      <c r="C258" s="11" t="s">
        <v>1607</v>
      </c>
      <c r="D258" s="14" t="s">
        <v>1608</v>
      </c>
      <c r="E258" s="13" t="n">
        <v>19180.56</v>
      </c>
      <c r="F258" s="11" t="s">
        <v>1112</v>
      </c>
      <c r="G258" s="11" t="s">
        <v>1609</v>
      </c>
      <c r="H258" s="11" t="s">
        <v>1104</v>
      </c>
      <c r="I258" s="16" t="s">
        <v>1105</v>
      </c>
    </row>
    <row r="259" customFormat="false" ht="15" hidden="false" customHeight="false" outlineLevel="0" collapsed="false">
      <c r="A259" s="11" t="s">
        <v>294</v>
      </c>
      <c r="B259" s="11" t="s">
        <v>295</v>
      </c>
      <c r="C259" s="11" t="s">
        <v>297</v>
      </c>
      <c r="D259" s="14" t="s">
        <v>298</v>
      </c>
      <c r="E259" s="13" t="n">
        <v>29324.35</v>
      </c>
      <c r="F259" s="11" t="s">
        <v>1102</v>
      </c>
      <c r="G259" s="11" t="s">
        <v>1610</v>
      </c>
      <c r="H259" s="11" t="s">
        <v>1109</v>
      </c>
      <c r="I259" s="16" t="s">
        <v>1105</v>
      </c>
    </row>
    <row r="260" customFormat="false" ht="23.85" hidden="false" customHeight="false" outlineLevel="0" collapsed="false">
      <c r="A260" s="11" t="s">
        <v>294</v>
      </c>
      <c r="B260" s="11" t="s">
        <v>295</v>
      </c>
      <c r="C260" s="11" t="s">
        <v>1611</v>
      </c>
      <c r="D260" s="14" t="s">
        <v>1612</v>
      </c>
      <c r="E260" s="13" t="n">
        <v>2409.76</v>
      </c>
      <c r="F260" s="11" t="s">
        <v>1112</v>
      </c>
      <c r="G260" s="11" t="s">
        <v>1613</v>
      </c>
      <c r="H260" s="11" t="s">
        <v>1126</v>
      </c>
      <c r="I260" s="16" t="s">
        <v>1105</v>
      </c>
    </row>
    <row r="261" customFormat="false" ht="23.85" hidden="false" customHeight="false" outlineLevel="0" collapsed="false">
      <c r="A261" s="11" t="s">
        <v>294</v>
      </c>
      <c r="B261" s="11" t="s">
        <v>295</v>
      </c>
      <c r="C261" s="11" t="s">
        <v>1611</v>
      </c>
      <c r="D261" s="14" t="s">
        <v>1614</v>
      </c>
      <c r="E261" s="13" t="n">
        <v>29775.8</v>
      </c>
      <c r="F261" s="11" t="s">
        <v>1102</v>
      </c>
      <c r="G261" s="11" t="s">
        <v>1613</v>
      </c>
      <c r="H261" s="11" t="s">
        <v>1126</v>
      </c>
      <c r="I261" s="16" t="s">
        <v>1105</v>
      </c>
    </row>
    <row r="262" customFormat="false" ht="23.85" hidden="false" customHeight="false" outlineLevel="0" collapsed="false">
      <c r="A262" s="11" t="s">
        <v>294</v>
      </c>
      <c r="B262" s="11" t="s">
        <v>295</v>
      </c>
      <c r="C262" s="11" t="s">
        <v>433</v>
      </c>
      <c r="D262" s="14" t="s">
        <v>1615</v>
      </c>
      <c r="E262" s="13" t="n">
        <v>48401</v>
      </c>
      <c r="F262" s="11" t="s">
        <v>1107</v>
      </c>
      <c r="G262" s="11" t="s">
        <v>1616</v>
      </c>
      <c r="H262" s="11" t="s">
        <v>1109</v>
      </c>
      <c r="I262" s="16" t="s">
        <v>1105</v>
      </c>
    </row>
    <row r="263" customFormat="false" ht="23.85" hidden="false" customHeight="false" outlineLevel="0" collapsed="false">
      <c r="A263" s="11" t="s">
        <v>294</v>
      </c>
      <c r="B263" s="11" t="s">
        <v>295</v>
      </c>
      <c r="C263" s="11" t="s">
        <v>1570</v>
      </c>
      <c r="D263" s="14" t="s">
        <v>1617</v>
      </c>
      <c r="E263" s="13" t="n">
        <v>5090.68</v>
      </c>
      <c r="F263" s="11" t="s">
        <v>1107</v>
      </c>
      <c r="G263" s="11" t="s">
        <v>1618</v>
      </c>
      <c r="H263" s="11" t="s">
        <v>1126</v>
      </c>
      <c r="I263" s="16" t="s">
        <v>1105</v>
      </c>
    </row>
    <row r="264" customFormat="false" ht="23.85" hidden="false" customHeight="false" outlineLevel="0" collapsed="false">
      <c r="A264" s="11" t="s">
        <v>299</v>
      </c>
      <c r="B264" s="11" t="s">
        <v>300</v>
      </c>
      <c r="C264" s="11" t="s">
        <v>188</v>
      </c>
      <c r="D264" s="14" t="s">
        <v>302</v>
      </c>
      <c r="E264" s="13" t="n">
        <v>31546.53</v>
      </c>
      <c r="F264" s="11" t="s">
        <v>1107</v>
      </c>
      <c r="G264" s="11" t="s">
        <v>1139</v>
      </c>
      <c r="H264" s="11" t="s">
        <v>1126</v>
      </c>
      <c r="I264" s="16" t="s">
        <v>1105</v>
      </c>
    </row>
    <row r="265" customFormat="false" ht="15" hidden="false" customHeight="false" outlineLevel="0" collapsed="false">
      <c r="A265" s="11" t="s">
        <v>299</v>
      </c>
      <c r="B265" s="11" t="s">
        <v>300</v>
      </c>
      <c r="C265" s="11" t="s">
        <v>1619</v>
      </c>
      <c r="D265" s="14" t="s">
        <v>1620</v>
      </c>
      <c r="E265" s="13" t="n">
        <v>43460.46</v>
      </c>
      <c r="F265" s="11" t="s">
        <v>1107</v>
      </c>
      <c r="G265" s="11" t="s">
        <v>1621</v>
      </c>
      <c r="H265" s="11" t="s">
        <v>1133</v>
      </c>
      <c r="I265" s="16" t="s">
        <v>1105</v>
      </c>
    </row>
    <row r="266" customFormat="false" ht="15" hidden="false" customHeight="false" outlineLevel="0" collapsed="false">
      <c r="A266" s="11" t="s">
        <v>299</v>
      </c>
      <c r="B266" s="11" t="s">
        <v>300</v>
      </c>
      <c r="C266" s="11" t="s">
        <v>1619</v>
      </c>
      <c r="D266" s="14" t="s">
        <v>850</v>
      </c>
      <c r="E266" s="13" t="n">
        <v>20700</v>
      </c>
      <c r="F266" s="11" t="s">
        <v>1107</v>
      </c>
      <c r="G266" s="11" t="s">
        <v>1622</v>
      </c>
      <c r="H266" s="11" t="s">
        <v>1133</v>
      </c>
      <c r="I266" s="16" t="s">
        <v>1105</v>
      </c>
    </row>
    <row r="267" customFormat="false" ht="23.85" hidden="false" customHeight="false" outlineLevel="0" collapsed="false">
      <c r="A267" s="11" t="s">
        <v>303</v>
      </c>
      <c r="B267" s="11" t="s">
        <v>304</v>
      </c>
      <c r="C267" s="11" t="s">
        <v>306</v>
      </c>
      <c r="D267" s="14" t="s">
        <v>307</v>
      </c>
      <c r="E267" s="13" t="n">
        <v>148646.87</v>
      </c>
      <c r="F267" s="11" t="s">
        <v>1107</v>
      </c>
      <c r="G267" s="11" t="s">
        <v>1623</v>
      </c>
      <c r="H267" s="11" t="s">
        <v>1398</v>
      </c>
      <c r="I267" s="16" t="s">
        <v>1105</v>
      </c>
    </row>
    <row r="268" customFormat="false" ht="35.05" hidden="false" customHeight="false" outlineLevel="0" collapsed="false">
      <c r="A268" s="11" t="s">
        <v>303</v>
      </c>
      <c r="B268" s="11" t="s">
        <v>304</v>
      </c>
      <c r="C268" s="11" t="s">
        <v>1624</v>
      </c>
      <c r="D268" s="14" t="s">
        <v>1625</v>
      </c>
      <c r="E268" s="13" t="n">
        <v>19900</v>
      </c>
      <c r="F268" s="11" t="s">
        <v>1112</v>
      </c>
      <c r="G268" s="11" t="s">
        <v>1626</v>
      </c>
      <c r="H268" s="11" t="s">
        <v>1627</v>
      </c>
      <c r="I268" s="16" t="s">
        <v>1105</v>
      </c>
    </row>
    <row r="269" customFormat="false" ht="15" hidden="false" customHeight="false" outlineLevel="0" collapsed="false">
      <c r="A269" s="11" t="s">
        <v>308</v>
      </c>
      <c r="B269" s="11" t="s">
        <v>309</v>
      </c>
      <c r="C269" s="11" t="s">
        <v>241</v>
      </c>
      <c r="D269" s="14" t="s">
        <v>311</v>
      </c>
      <c r="E269" s="13" t="n">
        <v>19800</v>
      </c>
      <c r="F269" s="11" t="s">
        <v>1112</v>
      </c>
      <c r="G269" s="11" t="s">
        <v>1628</v>
      </c>
      <c r="H269" s="11" t="s">
        <v>1146</v>
      </c>
      <c r="I269" s="16" t="s">
        <v>1105</v>
      </c>
    </row>
    <row r="270" customFormat="false" ht="23.85" hidden="false" customHeight="false" outlineLevel="0" collapsed="false">
      <c r="A270" s="11" t="s">
        <v>308</v>
      </c>
      <c r="B270" s="11" t="s">
        <v>309</v>
      </c>
      <c r="C270" s="11" t="s">
        <v>405</v>
      </c>
      <c r="D270" s="14" t="s">
        <v>1629</v>
      </c>
      <c r="E270" s="13" t="n">
        <v>51245.45</v>
      </c>
      <c r="F270" s="11" t="s">
        <v>1107</v>
      </c>
      <c r="G270" s="11" t="s">
        <v>1630</v>
      </c>
      <c r="H270" s="11" t="s">
        <v>1109</v>
      </c>
      <c r="I270" s="16" t="s">
        <v>1105</v>
      </c>
    </row>
    <row r="271" customFormat="false" ht="15" hidden="false" customHeight="false" outlineLevel="0" collapsed="false">
      <c r="A271" s="11" t="s">
        <v>308</v>
      </c>
      <c r="B271" s="11" t="s">
        <v>309</v>
      </c>
      <c r="C271" s="11" t="s">
        <v>100</v>
      </c>
      <c r="D271" s="14" t="s">
        <v>1631</v>
      </c>
      <c r="E271" s="13" t="n">
        <v>31329</v>
      </c>
      <c r="F271" s="11" t="s">
        <v>1107</v>
      </c>
      <c r="G271" s="11" t="s">
        <v>1632</v>
      </c>
      <c r="H271" s="11" t="s">
        <v>1633</v>
      </c>
      <c r="I271" s="16" t="s">
        <v>1105</v>
      </c>
    </row>
    <row r="272" customFormat="false" ht="15" hidden="false" customHeight="false" outlineLevel="0" collapsed="false">
      <c r="A272" s="11" t="s">
        <v>308</v>
      </c>
      <c r="B272" s="11" t="s">
        <v>309</v>
      </c>
      <c r="C272" s="11" t="s">
        <v>1279</v>
      </c>
      <c r="D272" s="14" t="s">
        <v>1634</v>
      </c>
      <c r="E272" s="13" t="n">
        <v>19050.5</v>
      </c>
      <c r="F272" s="11" t="s">
        <v>1112</v>
      </c>
      <c r="G272" s="11" t="s">
        <v>1635</v>
      </c>
      <c r="H272" s="11" t="s">
        <v>1109</v>
      </c>
      <c r="I272" s="16" t="s">
        <v>1105</v>
      </c>
    </row>
    <row r="273" customFormat="false" ht="23.85" hidden="false" customHeight="false" outlineLevel="0" collapsed="false">
      <c r="A273" s="11" t="s">
        <v>308</v>
      </c>
      <c r="B273" s="11" t="s">
        <v>309</v>
      </c>
      <c r="C273" s="11" t="s">
        <v>1261</v>
      </c>
      <c r="D273" s="14" t="s">
        <v>1636</v>
      </c>
      <c r="E273" s="13" t="n">
        <v>35100</v>
      </c>
      <c r="F273" s="11" t="s">
        <v>1107</v>
      </c>
      <c r="G273" s="11" t="s">
        <v>1370</v>
      </c>
      <c r="H273" s="11" t="s">
        <v>1146</v>
      </c>
      <c r="I273" s="16" t="s">
        <v>1105</v>
      </c>
    </row>
    <row r="274" customFormat="false" ht="23.85" hidden="false" customHeight="false" outlineLevel="0" collapsed="false">
      <c r="A274" s="11" t="s">
        <v>312</v>
      </c>
      <c r="B274" s="11" t="s">
        <v>313</v>
      </c>
      <c r="C274" s="11" t="s">
        <v>315</v>
      </c>
      <c r="D274" s="14" t="s">
        <v>316</v>
      </c>
      <c r="E274" s="13" t="n">
        <v>10000</v>
      </c>
      <c r="F274" s="11" t="s">
        <v>1112</v>
      </c>
      <c r="G274" s="11" t="s">
        <v>1637</v>
      </c>
      <c r="H274" s="11" t="s">
        <v>1133</v>
      </c>
      <c r="I274" s="16" t="s">
        <v>1105</v>
      </c>
    </row>
    <row r="275" customFormat="false" ht="23.85" hidden="false" customHeight="false" outlineLevel="0" collapsed="false">
      <c r="A275" s="11" t="s">
        <v>312</v>
      </c>
      <c r="B275" s="11" t="s">
        <v>313</v>
      </c>
      <c r="C275" s="11" t="s">
        <v>390</v>
      </c>
      <c r="D275" s="14" t="s">
        <v>1638</v>
      </c>
      <c r="E275" s="13" t="n">
        <v>14000</v>
      </c>
      <c r="F275" s="11" t="s">
        <v>1112</v>
      </c>
      <c r="G275" s="11" t="s">
        <v>1639</v>
      </c>
      <c r="H275" s="11" t="s">
        <v>1146</v>
      </c>
      <c r="I275" s="16" t="s">
        <v>1105</v>
      </c>
    </row>
    <row r="276" customFormat="false" ht="23.85" hidden="false" customHeight="false" outlineLevel="0" collapsed="false">
      <c r="A276" s="11" t="s">
        <v>312</v>
      </c>
      <c r="B276" s="11" t="s">
        <v>313</v>
      </c>
      <c r="C276" s="11" t="s">
        <v>1640</v>
      </c>
      <c r="D276" s="14" t="s">
        <v>1641</v>
      </c>
      <c r="E276" s="13" t="n">
        <v>20000</v>
      </c>
      <c r="F276" s="11" t="s">
        <v>1107</v>
      </c>
      <c r="G276" s="11" t="s">
        <v>1642</v>
      </c>
      <c r="H276" s="11" t="s">
        <v>1109</v>
      </c>
      <c r="I276" s="16" t="s">
        <v>1105</v>
      </c>
    </row>
    <row r="277" customFormat="false" ht="23.85" hidden="false" customHeight="false" outlineLevel="0" collapsed="false">
      <c r="A277" s="11" t="s">
        <v>312</v>
      </c>
      <c r="B277" s="11" t="s">
        <v>313</v>
      </c>
      <c r="C277" s="11" t="s">
        <v>1604</v>
      </c>
      <c r="D277" s="14" t="s">
        <v>1643</v>
      </c>
      <c r="E277" s="13" t="n">
        <v>14780</v>
      </c>
      <c r="F277" s="11" t="s">
        <v>1112</v>
      </c>
      <c r="G277" s="11" t="s">
        <v>1644</v>
      </c>
      <c r="H277" s="11" t="s">
        <v>1109</v>
      </c>
      <c r="I277" s="16" t="s">
        <v>1105</v>
      </c>
    </row>
    <row r="278" customFormat="false" ht="23.85" hidden="false" customHeight="false" outlineLevel="0" collapsed="false">
      <c r="A278" s="11" t="s">
        <v>312</v>
      </c>
      <c r="B278" s="11" t="s">
        <v>313</v>
      </c>
      <c r="C278" s="11" t="s">
        <v>1645</v>
      </c>
      <c r="D278" s="14" t="s">
        <v>1646</v>
      </c>
      <c r="E278" s="13" t="n">
        <v>36000</v>
      </c>
      <c r="F278" s="11" t="s">
        <v>1107</v>
      </c>
      <c r="G278" s="11" t="s">
        <v>1647</v>
      </c>
      <c r="H278" s="11" t="s">
        <v>1109</v>
      </c>
      <c r="I278" s="16" t="s">
        <v>1105</v>
      </c>
    </row>
    <row r="279" customFormat="false" ht="23.85" hidden="false" customHeight="false" outlineLevel="0" collapsed="false">
      <c r="A279" s="11" t="s">
        <v>317</v>
      </c>
      <c r="B279" s="11" t="s">
        <v>318</v>
      </c>
      <c r="C279" s="11" t="s">
        <v>320</v>
      </c>
      <c r="D279" s="14" t="s">
        <v>321</v>
      </c>
      <c r="E279" s="13" t="n">
        <v>17444.73</v>
      </c>
      <c r="F279" s="11" t="s">
        <v>1112</v>
      </c>
      <c r="G279" s="11" t="s">
        <v>1648</v>
      </c>
      <c r="H279" s="11" t="s">
        <v>1109</v>
      </c>
      <c r="I279" s="16" t="s">
        <v>1105</v>
      </c>
    </row>
    <row r="280" customFormat="false" ht="15" hidden="false" customHeight="false" outlineLevel="0" collapsed="false">
      <c r="A280" s="11" t="s">
        <v>317</v>
      </c>
      <c r="B280" s="11" t="s">
        <v>318</v>
      </c>
      <c r="C280" s="11" t="s">
        <v>1649</v>
      </c>
      <c r="D280" s="14" t="s">
        <v>1650</v>
      </c>
      <c r="E280" s="13" t="n">
        <v>104188</v>
      </c>
      <c r="F280" s="11" t="s">
        <v>1102</v>
      </c>
      <c r="G280" s="11" t="s">
        <v>1651</v>
      </c>
      <c r="H280" s="11" t="s">
        <v>1109</v>
      </c>
      <c r="I280" s="16" t="s">
        <v>1105</v>
      </c>
    </row>
    <row r="281" customFormat="false" ht="15" hidden="false" customHeight="false" outlineLevel="0" collapsed="false">
      <c r="A281" s="11" t="s">
        <v>317</v>
      </c>
      <c r="B281" s="11" t="s">
        <v>318</v>
      </c>
      <c r="C281" s="11" t="s">
        <v>490</v>
      </c>
      <c r="D281" s="14" t="s">
        <v>1652</v>
      </c>
      <c r="E281" s="13" t="n">
        <v>3910</v>
      </c>
      <c r="F281" s="11" t="s">
        <v>1112</v>
      </c>
      <c r="G281" s="11" t="s">
        <v>1653</v>
      </c>
      <c r="H281" s="11" t="s">
        <v>1104</v>
      </c>
      <c r="I281" s="16" t="s">
        <v>1105</v>
      </c>
    </row>
    <row r="282" customFormat="false" ht="15" hidden="false" customHeight="false" outlineLevel="0" collapsed="false">
      <c r="A282" s="11" t="s">
        <v>317</v>
      </c>
      <c r="B282" s="11" t="s">
        <v>318</v>
      </c>
      <c r="C282" s="11" t="s">
        <v>795</v>
      </c>
      <c r="D282" s="14" t="s">
        <v>1654</v>
      </c>
      <c r="E282" s="13" t="n">
        <v>3500</v>
      </c>
      <c r="F282" s="11" t="s">
        <v>1112</v>
      </c>
      <c r="G282" s="11" t="s">
        <v>1655</v>
      </c>
      <c r="H282" s="11" t="s">
        <v>1109</v>
      </c>
      <c r="I282" s="16" t="s">
        <v>1105</v>
      </c>
    </row>
    <row r="283" customFormat="false" ht="23.85" hidden="false" customHeight="false" outlineLevel="0" collapsed="false">
      <c r="A283" s="11" t="s">
        <v>317</v>
      </c>
      <c r="B283" s="11" t="s">
        <v>318</v>
      </c>
      <c r="C283" s="11" t="s">
        <v>1656</v>
      </c>
      <c r="D283" s="14" t="s">
        <v>321</v>
      </c>
      <c r="E283" s="13" t="n">
        <v>20656.66</v>
      </c>
      <c r="F283" s="11" t="s">
        <v>1112</v>
      </c>
      <c r="G283" s="11" t="s">
        <v>1648</v>
      </c>
      <c r="H283" s="11" t="s">
        <v>1109</v>
      </c>
      <c r="I283" s="16" t="s">
        <v>1105</v>
      </c>
    </row>
    <row r="284" customFormat="false" ht="15" hidden="false" customHeight="false" outlineLevel="0" collapsed="false">
      <c r="A284" s="11" t="s">
        <v>322</v>
      </c>
      <c r="B284" s="11" t="s">
        <v>323</v>
      </c>
      <c r="C284" s="11" t="s">
        <v>325</v>
      </c>
      <c r="D284" s="14" t="s">
        <v>326</v>
      </c>
      <c r="E284" s="13" t="n">
        <v>18792.4</v>
      </c>
      <c r="F284" s="11" t="s">
        <v>1112</v>
      </c>
      <c r="G284" s="11" t="s">
        <v>1657</v>
      </c>
      <c r="H284" s="11" t="s">
        <v>1109</v>
      </c>
      <c r="I284" s="16" t="s">
        <v>1105</v>
      </c>
    </row>
    <row r="285" customFormat="false" ht="15" hidden="false" customHeight="false" outlineLevel="0" collapsed="false">
      <c r="A285" s="11" t="s">
        <v>322</v>
      </c>
      <c r="B285" s="11" t="s">
        <v>323</v>
      </c>
      <c r="C285" s="11" t="s">
        <v>667</v>
      </c>
      <c r="D285" s="14" t="s">
        <v>1658</v>
      </c>
      <c r="E285" s="13" t="n">
        <v>8874</v>
      </c>
      <c r="F285" s="11" t="s">
        <v>1112</v>
      </c>
      <c r="G285" s="11" t="s">
        <v>1659</v>
      </c>
      <c r="H285" s="11" t="s">
        <v>1146</v>
      </c>
      <c r="I285" s="16" t="s">
        <v>1105</v>
      </c>
    </row>
    <row r="286" customFormat="false" ht="15" hidden="false" customHeight="false" outlineLevel="0" collapsed="false">
      <c r="A286" s="11" t="s">
        <v>322</v>
      </c>
      <c r="B286" s="11" t="s">
        <v>323</v>
      </c>
      <c r="C286" s="11" t="s">
        <v>1660</v>
      </c>
      <c r="D286" s="14" t="s">
        <v>1661</v>
      </c>
      <c r="E286" s="13" t="n">
        <v>48825</v>
      </c>
      <c r="F286" s="11" t="s">
        <v>1102</v>
      </c>
      <c r="G286" s="11" t="s">
        <v>1662</v>
      </c>
      <c r="H286" s="11" t="s">
        <v>1109</v>
      </c>
      <c r="I286" s="16" t="s">
        <v>1105</v>
      </c>
    </row>
    <row r="287" customFormat="false" ht="23.85" hidden="false" customHeight="false" outlineLevel="0" collapsed="false">
      <c r="A287" s="11" t="s">
        <v>322</v>
      </c>
      <c r="B287" s="11" t="s">
        <v>323</v>
      </c>
      <c r="C287" s="11" t="s">
        <v>1663</v>
      </c>
      <c r="D287" s="14" t="s">
        <v>1664</v>
      </c>
      <c r="E287" s="13" t="n">
        <v>9954.56</v>
      </c>
      <c r="F287" s="11" t="s">
        <v>1112</v>
      </c>
      <c r="G287" s="11" t="s">
        <v>1665</v>
      </c>
      <c r="H287" s="11" t="s">
        <v>1109</v>
      </c>
      <c r="I287" s="16" t="s">
        <v>1105</v>
      </c>
    </row>
    <row r="288" customFormat="false" ht="15" hidden="false" customHeight="false" outlineLevel="0" collapsed="false">
      <c r="A288" s="11" t="s">
        <v>322</v>
      </c>
      <c r="B288" s="11" t="s">
        <v>323</v>
      </c>
      <c r="C288" s="11" t="s">
        <v>829</v>
      </c>
      <c r="D288" s="14" t="s">
        <v>1666</v>
      </c>
      <c r="E288" s="13" t="n">
        <v>26250</v>
      </c>
      <c r="F288" s="11" t="s">
        <v>1102</v>
      </c>
      <c r="G288" s="11" t="s">
        <v>1667</v>
      </c>
      <c r="H288" s="11" t="s">
        <v>1633</v>
      </c>
      <c r="I288" s="16" t="s">
        <v>1105</v>
      </c>
    </row>
    <row r="289" customFormat="false" ht="23.85" hidden="false" customHeight="false" outlineLevel="0" collapsed="false">
      <c r="A289" s="11" t="s">
        <v>327</v>
      </c>
      <c r="B289" s="11" t="s">
        <v>328</v>
      </c>
      <c r="C289" s="11" t="s">
        <v>330</v>
      </c>
      <c r="D289" s="14" t="s">
        <v>331</v>
      </c>
      <c r="E289" s="13" t="n">
        <v>24500</v>
      </c>
      <c r="F289" s="11" t="s">
        <v>1102</v>
      </c>
      <c r="G289" s="11" t="s">
        <v>1668</v>
      </c>
      <c r="H289" s="11" t="s">
        <v>1146</v>
      </c>
      <c r="I289" s="16" t="s">
        <v>1105</v>
      </c>
    </row>
    <row r="290" customFormat="false" ht="23.85" hidden="false" customHeight="false" outlineLevel="0" collapsed="false">
      <c r="A290" s="11" t="s">
        <v>327</v>
      </c>
      <c r="B290" s="11" t="s">
        <v>328</v>
      </c>
      <c r="C290" s="11" t="s">
        <v>306</v>
      </c>
      <c r="D290" s="14" t="s">
        <v>1669</v>
      </c>
      <c r="E290" s="13" t="n">
        <v>40689</v>
      </c>
      <c r="F290" s="11" t="s">
        <v>1107</v>
      </c>
      <c r="G290" s="11" t="s">
        <v>1670</v>
      </c>
      <c r="H290" s="11" t="s">
        <v>1146</v>
      </c>
      <c r="I290" s="16" t="s">
        <v>1105</v>
      </c>
    </row>
    <row r="291" customFormat="false" ht="23.85" hidden="false" customHeight="false" outlineLevel="0" collapsed="false">
      <c r="A291" s="11" t="s">
        <v>327</v>
      </c>
      <c r="B291" s="11" t="s">
        <v>328</v>
      </c>
      <c r="C291" s="11" t="s">
        <v>1671</v>
      </c>
      <c r="D291" s="14" t="s">
        <v>1672</v>
      </c>
      <c r="E291" s="13" t="n">
        <v>18224</v>
      </c>
      <c r="F291" s="11" t="s">
        <v>1112</v>
      </c>
      <c r="G291" s="11" t="s">
        <v>1673</v>
      </c>
      <c r="H291" s="11" t="s">
        <v>1104</v>
      </c>
      <c r="I291" s="16" t="s">
        <v>1105</v>
      </c>
    </row>
    <row r="292" customFormat="false" ht="23.85" hidden="false" customHeight="false" outlineLevel="0" collapsed="false">
      <c r="A292" s="11" t="s">
        <v>327</v>
      </c>
      <c r="B292" s="11" t="s">
        <v>328</v>
      </c>
      <c r="C292" s="11" t="s">
        <v>1674</v>
      </c>
      <c r="D292" s="14" t="s">
        <v>1675</v>
      </c>
      <c r="E292" s="13" t="n">
        <v>23590.48</v>
      </c>
      <c r="F292" s="11" t="s">
        <v>1107</v>
      </c>
      <c r="G292" s="11" t="s">
        <v>1676</v>
      </c>
      <c r="H292" s="11" t="s">
        <v>1126</v>
      </c>
      <c r="I292" s="16" t="s">
        <v>1105</v>
      </c>
    </row>
    <row r="293" customFormat="false" ht="23.85" hidden="false" customHeight="false" outlineLevel="0" collapsed="false">
      <c r="A293" s="11" t="s">
        <v>332</v>
      </c>
      <c r="B293" s="11" t="s">
        <v>333</v>
      </c>
      <c r="C293" s="11" t="s">
        <v>179</v>
      </c>
      <c r="D293" s="14" t="s">
        <v>335</v>
      </c>
      <c r="E293" s="13" t="n">
        <v>2170</v>
      </c>
      <c r="F293" s="11" t="s">
        <v>1112</v>
      </c>
      <c r="G293" s="11" t="s">
        <v>1677</v>
      </c>
      <c r="H293" s="11" t="s">
        <v>1146</v>
      </c>
      <c r="I293" s="16" t="s">
        <v>1105</v>
      </c>
    </row>
    <row r="294" customFormat="false" ht="15" hidden="false" customHeight="false" outlineLevel="0" collapsed="false">
      <c r="A294" s="11" t="s">
        <v>332</v>
      </c>
      <c r="B294" s="11" t="s">
        <v>333</v>
      </c>
      <c r="C294" s="11" t="s">
        <v>687</v>
      </c>
      <c r="D294" s="14" t="s">
        <v>1678</v>
      </c>
      <c r="E294" s="13" t="n">
        <v>9180.6</v>
      </c>
      <c r="F294" s="11" t="s">
        <v>1112</v>
      </c>
      <c r="G294" s="11" t="s">
        <v>1679</v>
      </c>
      <c r="H294" s="11" t="s">
        <v>1104</v>
      </c>
      <c r="I294" s="16" t="s">
        <v>1105</v>
      </c>
    </row>
    <row r="295" customFormat="false" ht="23.85" hidden="false" customHeight="false" outlineLevel="0" collapsed="false">
      <c r="A295" s="11" t="s">
        <v>332</v>
      </c>
      <c r="B295" s="11" t="s">
        <v>333</v>
      </c>
      <c r="C295" s="11" t="s">
        <v>1680</v>
      </c>
      <c r="D295" s="14" t="s">
        <v>1681</v>
      </c>
      <c r="E295" s="13" t="n">
        <v>7802</v>
      </c>
      <c r="F295" s="11" t="s">
        <v>1169</v>
      </c>
      <c r="G295" s="11" t="s">
        <v>1682</v>
      </c>
      <c r="H295" s="11" t="s">
        <v>1109</v>
      </c>
      <c r="I295" s="16" t="s">
        <v>1105</v>
      </c>
    </row>
    <row r="296" customFormat="false" ht="23.85" hidden="false" customHeight="false" outlineLevel="0" collapsed="false">
      <c r="A296" s="11" t="s">
        <v>332</v>
      </c>
      <c r="B296" s="11" t="s">
        <v>333</v>
      </c>
      <c r="C296" s="11" t="s">
        <v>1683</v>
      </c>
      <c r="D296" s="14" t="s">
        <v>1684</v>
      </c>
      <c r="E296" s="13" t="n">
        <v>5625</v>
      </c>
      <c r="F296" s="11" t="s">
        <v>1169</v>
      </c>
      <c r="G296" s="11" t="s">
        <v>1685</v>
      </c>
      <c r="H296" s="11" t="s">
        <v>1109</v>
      </c>
      <c r="I296" s="16" t="s">
        <v>1105</v>
      </c>
    </row>
    <row r="297" customFormat="false" ht="23.85" hidden="false" customHeight="false" outlineLevel="0" collapsed="false">
      <c r="A297" s="11" t="s">
        <v>332</v>
      </c>
      <c r="B297" s="11" t="s">
        <v>333</v>
      </c>
      <c r="C297" s="11" t="s">
        <v>606</v>
      </c>
      <c r="D297" s="14" t="s">
        <v>1686</v>
      </c>
      <c r="E297" s="13" t="n">
        <v>5625</v>
      </c>
      <c r="F297" s="11" t="s">
        <v>1169</v>
      </c>
      <c r="G297" s="11" t="s">
        <v>1687</v>
      </c>
      <c r="H297" s="11" t="s">
        <v>1109</v>
      </c>
      <c r="I297" s="16" t="s">
        <v>1105</v>
      </c>
    </row>
    <row r="298" customFormat="false" ht="15" hidden="false" customHeight="false" outlineLevel="0" collapsed="false">
      <c r="A298" s="11" t="s">
        <v>336</v>
      </c>
      <c r="B298" s="11" t="s">
        <v>337</v>
      </c>
      <c r="C298" s="11" t="s">
        <v>155</v>
      </c>
      <c r="D298" s="14" t="s">
        <v>339</v>
      </c>
      <c r="E298" s="13" t="n">
        <v>1743.3</v>
      </c>
      <c r="F298" s="11" t="s">
        <v>1107</v>
      </c>
      <c r="G298" s="11" t="s">
        <v>1590</v>
      </c>
      <c r="H298" s="11" t="s">
        <v>1109</v>
      </c>
      <c r="I298" s="16" t="s">
        <v>1105</v>
      </c>
    </row>
    <row r="299" customFormat="false" ht="23.85" hidden="false" customHeight="false" outlineLevel="0" collapsed="false">
      <c r="A299" s="11" t="s">
        <v>336</v>
      </c>
      <c r="B299" s="11" t="s">
        <v>337</v>
      </c>
      <c r="C299" s="11" t="s">
        <v>174</v>
      </c>
      <c r="D299" s="14" t="s">
        <v>1688</v>
      </c>
      <c r="E299" s="13" t="n">
        <v>48249.2</v>
      </c>
      <c r="F299" s="11" t="s">
        <v>1107</v>
      </c>
      <c r="G299" s="11" t="s">
        <v>1689</v>
      </c>
      <c r="H299" s="11" t="s">
        <v>1109</v>
      </c>
      <c r="I299" s="16" t="s">
        <v>1105</v>
      </c>
    </row>
    <row r="300" customFormat="false" ht="23.85" hidden="false" customHeight="false" outlineLevel="0" collapsed="false">
      <c r="A300" s="11" t="s">
        <v>336</v>
      </c>
      <c r="B300" s="11" t="s">
        <v>337</v>
      </c>
      <c r="C300" s="11" t="s">
        <v>805</v>
      </c>
      <c r="D300" s="14" t="s">
        <v>1690</v>
      </c>
      <c r="E300" s="13" t="n">
        <v>671.55</v>
      </c>
      <c r="F300" s="11" t="s">
        <v>1112</v>
      </c>
      <c r="G300" s="11" t="s">
        <v>1691</v>
      </c>
      <c r="H300" s="11" t="s">
        <v>1109</v>
      </c>
      <c r="I300" s="16" t="s">
        <v>1105</v>
      </c>
    </row>
    <row r="301" customFormat="false" ht="23.85" hidden="false" customHeight="false" outlineLevel="0" collapsed="false">
      <c r="A301" s="11" t="s">
        <v>336</v>
      </c>
      <c r="B301" s="11" t="s">
        <v>337</v>
      </c>
      <c r="C301" s="11" t="s">
        <v>1692</v>
      </c>
      <c r="D301" s="14" t="s">
        <v>1693</v>
      </c>
      <c r="E301" s="13" t="n">
        <v>205</v>
      </c>
      <c r="F301" s="11" t="s">
        <v>1112</v>
      </c>
      <c r="G301" s="11" t="s">
        <v>1694</v>
      </c>
      <c r="H301" s="11" t="s">
        <v>1109</v>
      </c>
      <c r="I301" s="16" t="s">
        <v>1105</v>
      </c>
    </row>
    <row r="302" customFormat="false" ht="15" hidden="false" customHeight="false" outlineLevel="0" collapsed="false">
      <c r="A302" s="11" t="s">
        <v>336</v>
      </c>
      <c r="B302" s="11" t="s">
        <v>337</v>
      </c>
      <c r="C302" s="11" t="s">
        <v>1570</v>
      </c>
      <c r="D302" s="14" t="s">
        <v>1695</v>
      </c>
      <c r="E302" s="13" t="n">
        <v>5607.19</v>
      </c>
      <c r="F302" s="11" t="s">
        <v>1107</v>
      </c>
      <c r="G302" s="11" t="s">
        <v>1696</v>
      </c>
      <c r="H302" s="11" t="s">
        <v>1109</v>
      </c>
      <c r="I302" s="16" t="s">
        <v>1105</v>
      </c>
    </row>
    <row r="303" customFormat="false" ht="15" hidden="false" customHeight="false" outlineLevel="0" collapsed="false">
      <c r="A303" s="11" t="s">
        <v>340</v>
      </c>
      <c r="B303" s="11" t="s">
        <v>341</v>
      </c>
      <c r="C303" s="11" t="s">
        <v>343</v>
      </c>
      <c r="D303" s="14" t="s">
        <v>344</v>
      </c>
      <c r="E303" s="13" t="n">
        <v>6996.4</v>
      </c>
      <c r="F303" s="11" t="s">
        <v>1112</v>
      </c>
      <c r="G303" s="11" t="s">
        <v>1697</v>
      </c>
      <c r="H303" s="11" t="s">
        <v>1109</v>
      </c>
      <c r="I303" s="16" t="s">
        <v>1105</v>
      </c>
    </row>
    <row r="304" customFormat="false" ht="15" hidden="false" customHeight="false" outlineLevel="0" collapsed="false">
      <c r="A304" s="11" t="s">
        <v>340</v>
      </c>
      <c r="B304" s="11" t="s">
        <v>341</v>
      </c>
      <c r="C304" s="11" t="s">
        <v>772</v>
      </c>
      <c r="D304" s="14" t="s">
        <v>1698</v>
      </c>
      <c r="E304" s="13" t="n">
        <v>22694.8</v>
      </c>
      <c r="F304" s="11" t="s">
        <v>1169</v>
      </c>
      <c r="G304" s="11" t="s">
        <v>1699</v>
      </c>
      <c r="H304" s="11" t="s">
        <v>1109</v>
      </c>
      <c r="I304" s="16" t="s">
        <v>1105</v>
      </c>
    </row>
    <row r="305" customFormat="false" ht="15" hidden="false" customHeight="false" outlineLevel="0" collapsed="false">
      <c r="A305" s="11" t="s">
        <v>340</v>
      </c>
      <c r="B305" s="11" t="s">
        <v>341</v>
      </c>
      <c r="C305" s="11" t="s">
        <v>466</v>
      </c>
      <c r="D305" s="14" t="s">
        <v>1700</v>
      </c>
      <c r="E305" s="13" t="n">
        <v>19800</v>
      </c>
      <c r="F305" s="11" t="s">
        <v>1112</v>
      </c>
      <c r="G305" s="11" t="s">
        <v>970</v>
      </c>
      <c r="H305" s="11" t="s">
        <v>1109</v>
      </c>
      <c r="I305" s="16" t="s">
        <v>1105</v>
      </c>
    </row>
    <row r="306" customFormat="false" ht="15" hidden="false" customHeight="false" outlineLevel="0" collapsed="false">
      <c r="A306" s="11" t="s">
        <v>340</v>
      </c>
      <c r="B306" s="11" t="s">
        <v>341</v>
      </c>
      <c r="C306" s="11" t="s">
        <v>466</v>
      </c>
      <c r="D306" s="14" t="s">
        <v>1701</v>
      </c>
      <c r="E306" s="13" t="n">
        <v>6287.6</v>
      </c>
      <c r="F306" s="11" t="s">
        <v>1112</v>
      </c>
      <c r="G306" s="11" t="s">
        <v>1702</v>
      </c>
      <c r="H306" s="11" t="s">
        <v>1109</v>
      </c>
      <c r="I306" s="16" t="s">
        <v>1105</v>
      </c>
    </row>
    <row r="307" customFormat="false" ht="15" hidden="false" customHeight="false" outlineLevel="0" collapsed="false">
      <c r="A307" s="11" t="s">
        <v>340</v>
      </c>
      <c r="B307" s="11" t="s">
        <v>341</v>
      </c>
      <c r="C307" s="11" t="s">
        <v>1041</v>
      </c>
      <c r="D307" s="14" t="s">
        <v>1703</v>
      </c>
      <c r="E307" s="13" t="n">
        <v>5699</v>
      </c>
      <c r="F307" s="11" t="s">
        <v>1107</v>
      </c>
      <c r="G307" s="11" t="s">
        <v>1285</v>
      </c>
      <c r="H307" s="11" t="s">
        <v>1109</v>
      </c>
      <c r="I307" s="16" t="s">
        <v>1105</v>
      </c>
    </row>
    <row r="308" customFormat="false" ht="15" hidden="false" customHeight="false" outlineLevel="0" collapsed="false">
      <c r="A308" s="11" t="s">
        <v>345</v>
      </c>
      <c r="B308" s="11" t="s">
        <v>346</v>
      </c>
      <c r="C308" s="11" t="s">
        <v>348</v>
      </c>
      <c r="D308" s="14" t="s">
        <v>349</v>
      </c>
      <c r="E308" s="13" t="n">
        <v>32290</v>
      </c>
      <c r="F308" s="11" t="s">
        <v>1107</v>
      </c>
      <c r="G308" s="11" t="s">
        <v>1704</v>
      </c>
      <c r="H308" s="11" t="s">
        <v>1363</v>
      </c>
      <c r="I308" s="16" t="s">
        <v>1105</v>
      </c>
    </row>
    <row r="309" customFormat="false" ht="15" hidden="false" customHeight="false" outlineLevel="0" collapsed="false">
      <c r="A309" s="11" t="s">
        <v>345</v>
      </c>
      <c r="B309" s="11" t="s">
        <v>346</v>
      </c>
      <c r="C309" s="11" t="s">
        <v>625</v>
      </c>
      <c r="D309" s="14" t="s">
        <v>1705</v>
      </c>
      <c r="E309" s="13" t="n">
        <v>16069.5</v>
      </c>
      <c r="F309" s="11" t="s">
        <v>1112</v>
      </c>
      <c r="G309" s="11" t="s">
        <v>1706</v>
      </c>
      <c r="H309" s="11" t="s">
        <v>1104</v>
      </c>
      <c r="I309" s="16" t="s">
        <v>1105</v>
      </c>
    </row>
    <row r="310" customFormat="false" ht="23.85" hidden="false" customHeight="false" outlineLevel="0" collapsed="false">
      <c r="A310" s="11" t="s">
        <v>350</v>
      </c>
      <c r="B310" s="11" t="s">
        <v>351</v>
      </c>
      <c r="C310" s="11" t="s">
        <v>137</v>
      </c>
      <c r="D310" s="14" t="s">
        <v>353</v>
      </c>
      <c r="E310" s="13" t="n">
        <v>15779.83</v>
      </c>
      <c r="F310" s="11" t="s">
        <v>1107</v>
      </c>
      <c r="G310" s="11" t="s">
        <v>1707</v>
      </c>
      <c r="H310" s="11" t="s">
        <v>1104</v>
      </c>
      <c r="I310" s="16" t="s">
        <v>1105</v>
      </c>
    </row>
    <row r="311" customFormat="false" ht="23.85" hidden="false" customHeight="false" outlineLevel="0" collapsed="false">
      <c r="A311" s="11" t="s">
        <v>350</v>
      </c>
      <c r="B311" s="11" t="s">
        <v>351</v>
      </c>
      <c r="C311" s="11" t="s">
        <v>1373</v>
      </c>
      <c r="D311" s="14" t="s">
        <v>1708</v>
      </c>
      <c r="E311" s="13" t="n">
        <v>5080</v>
      </c>
      <c r="F311" s="11" t="s">
        <v>1107</v>
      </c>
      <c r="G311" s="11" t="s">
        <v>1709</v>
      </c>
      <c r="H311" s="11" t="s">
        <v>1126</v>
      </c>
      <c r="I311" s="16" t="s">
        <v>1105</v>
      </c>
    </row>
    <row r="312" customFormat="false" ht="23.85" hidden="false" customHeight="false" outlineLevel="0" collapsed="false">
      <c r="A312" s="11" t="s">
        <v>354</v>
      </c>
      <c r="B312" s="11" t="s">
        <v>355</v>
      </c>
      <c r="C312" s="11" t="s">
        <v>127</v>
      </c>
      <c r="D312" s="14" t="s">
        <v>357</v>
      </c>
      <c r="E312" s="13" t="n">
        <v>19965</v>
      </c>
      <c r="F312" s="11" t="s">
        <v>1112</v>
      </c>
      <c r="G312" s="11" t="s">
        <v>1710</v>
      </c>
      <c r="H312" s="11" t="s">
        <v>1126</v>
      </c>
      <c r="I312" s="16" t="s">
        <v>1105</v>
      </c>
    </row>
    <row r="313" customFormat="false" ht="23.85" hidden="false" customHeight="false" outlineLevel="0" collapsed="false">
      <c r="A313" s="11" t="s">
        <v>354</v>
      </c>
      <c r="B313" s="11" t="s">
        <v>355</v>
      </c>
      <c r="C313" s="11" t="s">
        <v>1711</v>
      </c>
      <c r="D313" s="14" t="s">
        <v>1712</v>
      </c>
      <c r="E313" s="13" t="n">
        <v>6000</v>
      </c>
      <c r="F313" s="11" t="s">
        <v>1112</v>
      </c>
      <c r="G313" s="11" t="s">
        <v>1713</v>
      </c>
      <c r="H313" s="11" t="s">
        <v>1109</v>
      </c>
      <c r="I313" s="16" t="s">
        <v>1105</v>
      </c>
    </row>
    <row r="314" customFormat="false" ht="15" hidden="false" customHeight="false" outlineLevel="0" collapsed="false">
      <c r="A314" s="11" t="s">
        <v>354</v>
      </c>
      <c r="B314" s="11" t="s">
        <v>355</v>
      </c>
      <c r="C314" s="11" t="s">
        <v>1601</v>
      </c>
      <c r="D314" s="14" t="s">
        <v>1714</v>
      </c>
      <c r="E314" s="13" t="n">
        <v>691029.37</v>
      </c>
      <c r="F314" s="11" t="s">
        <v>1102</v>
      </c>
      <c r="G314" s="11" t="s">
        <v>1715</v>
      </c>
      <c r="H314" s="11" t="s">
        <v>1109</v>
      </c>
      <c r="I314" s="16" t="s">
        <v>1105</v>
      </c>
    </row>
    <row r="315" customFormat="false" ht="23.85" hidden="false" customHeight="false" outlineLevel="0" collapsed="false">
      <c r="A315" s="11" t="s">
        <v>354</v>
      </c>
      <c r="B315" s="11" t="s">
        <v>355</v>
      </c>
      <c r="C315" s="11" t="s">
        <v>1716</v>
      </c>
      <c r="D315" s="14" t="s">
        <v>1717</v>
      </c>
      <c r="E315" s="13" t="n">
        <v>6000</v>
      </c>
      <c r="F315" s="11" t="s">
        <v>1112</v>
      </c>
      <c r="G315" s="11" t="s">
        <v>1718</v>
      </c>
      <c r="H315" s="11" t="s">
        <v>1109</v>
      </c>
      <c r="I315" s="16" t="s">
        <v>1105</v>
      </c>
    </row>
    <row r="316" customFormat="false" ht="15" hidden="false" customHeight="false" outlineLevel="0" collapsed="false">
      <c r="A316" s="11" t="s">
        <v>358</v>
      </c>
      <c r="B316" s="11" t="s">
        <v>359</v>
      </c>
      <c r="C316" s="11" t="s">
        <v>164</v>
      </c>
      <c r="D316" s="14" t="s">
        <v>361</v>
      </c>
      <c r="E316" s="13" t="n">
        <v>15875</v>
      </c>
      <c r="F316" s="11" t="s">
        <v>1112</v>
      </c>
      <c r="G316" s="11" t="s">
        <v>1719</v>
      </c>
      <c r="H316" s="11" t="s">
        <v>1109</v>
      </c>
      <c r="I316" s="16" t="s">
        <v>1105</v>
      </c>
    </row>
    <row r="317" customFormat="false" ht="23.85" hidden="false" customHeight="false" outlineLevel="0" collapsed="false">
      <c r="A317" s="11" t="s">
        <v>358</v>
      </c>
      <c r="B317" s="11" t="s">
        <v>359</v>
      </c>
      <c r="C317" s="11" t="s">
        <v>1720</v>
      </c>
      <c r="D317" s="14" t="s">
        <v>1721</v>
      </c>
      <c r="E317" s="13" t="n">
        <v>24392.61</v>
      </c>
      <c r="F317" s="11" t="s">
        <v>1112</v>
      </c>
      <c r="G317" s="11" t="s">
        <v>1722</v>
      </c>
      <c r="H317" s="11" t="s">
        <v>1104</v>
      </c>
      <c r="I317" s="16" t="s">
        <v>1105</v>
      </c>
    </row>
    <row r="318" customFormat="false" ht="23.85" hidden="false" customHeight="false" outlineLevel="0" collapsed="false">
      <c r="A318" s="11" t="s">
        <v>358</v>
      </c>
      <c r="B318" s="11" t="s">
        <v>359</v>
      </c>
      <c r="C318" s="11" t="s">
        <v>1723</v>
      </c>
      <c r="D318" s="14" t="s">
        <v>1724</v>
      </c>
      <c r="E318" s="13" t="n">
        <v>61390</v>
      </c>
      <c r="F318" s="11" t="s">
        <v>1107</v>
      </c>
      <c r="G318" s="11" t="s">
        <v>1725</v>
      </c>
      <c r="H318" s="11" t="s">
        <v>1133</v>
      </c>
      <c r="I318" s="16" t="s">
        <v>1105</v>
      </c>
    </row>
    <row r="319" customFormat="false" ht="15" hidden="false" customHeight="false" outlineLevel="0" collapsed="false">
      <c r="A319" s="11" t="s">
        <v>362</v>
      </c>
      <c r="B319" s="11" t="s">
        <v>363</v>
      </c>
      <c r="C319" s="11" t="s">
        <v>365</v>
      </c>
      <c r="D319" s="14" t="s">
        <v>366</v>
      </c>
      <c r="E319" s="13" t="n">
        <v>14317.07</v>
      </c>
      <c r="F319" s="11" t="s">
        <v>1112</v>
      </c>
      <c r="G319" s="11" t="s">
        <v>1726</v>
      </c>
      <c r="H319" s="11" t="s">
        <v>1109</v>
      </c>
      <c r="I319" s="16" t="s">
        <v>1105</v>
      </c>
    </row>
    <row r="320" customFormat="false" ht="23.85" hidden="false" customHeight="false" outlineLevel="0" collapsed="false">
      <c r="A320" s="11" t="s">
        <v>362</v>
      </c>
      <c r="B320" s="11" t="s">
        <v>363</v>
      </c>
      <c r="C320" s="11" t="s">
        <v>902</v>
      </c>
      <c r="D320" s="14" t="s">
        <v>1727</v>
      </c>
      <c r="E320" s="13" t="n">
        <v>16647.36</v>
      </c>
      <c r="F320" s="11" t="s">
        <v>1112</v>
      </c>
      <c r="G320" s="11" t="s">
        <v>1728</v>
      </c>
      <c r="H320" s="11" t="s">
        <v>1363</v>
      </c>
      <c r="I320" s="16" t="s">
        <v>1105</v>
      </c>
    </row>
    <row r="321" customFormat="false" ht="23.85" hidden="false" customHeight="false" outlineLevel="0" collapsed="false">
      <c r="A321" s="11" t="s">
        <v>367</v>
      </c>
      <c r="B321" s="11" t="s">
        <v>368</v>
      </c>
      <c r="C321" s="11" t="s">
        <v>370</v>
      </c>
      <c r="D321" s="14" t="s">
        <v>371</v>
      </c>
      <c r="E321" s="13" t="n">
        <v>40070.73</v>
      </c>
      <c r="F321" s="11" t="s">
        <v>1107</v>
      </c>
      <c r="G321" s="11" t="s">
        <v>1729</v>
      </c>
      <c r="H321" s="11" t="s">
        <v>1109</v>
      </c>
      <c r="I321" s="16" t="s">
        <v>1105</v>
      </c>
    </row>
    <row r="322" customFormat="false" ht="23.85" hidden="false" customHeight="false" outlineLevel="0" collapsed="false">
      <c r="A322" s="11" t="s">
        <v>367</v>
      </c>
      <c r="B322" s="11" t="s">
        <v>368</v>
      </c>
      <c r="C322" s="11" t="s">
        <v>370</v>
      </c>
      <c r="D322" s="14" t="s">
        <v>1730</v>
      </c>
      <c r="E322" s="13" t="n">
        <v>40129.25</v>
      </c>
      <c r="F322" s="11" t="s">
        <v>1107</v>
      </c>
      <c r="G322" s="11" t="s">
        <v>1729</v>
      </c>
      <c r="H322" s="11" t="s">
        <v>1109</v>
      </c>
      <c r="I322" s="16" t="s">
        <v>1105</v>
      </c>
    </row>
    <row r="323" customFormat="false" ht="23.85" hidden="false" customHeight="false" outlineLevel="0" collapsed="false">
      <c r="A323" s="11" t="s">
        <v>367</v>
      </c>
      <c r="B323" s="11" t="s">
        <v>368</v>
      </c>
      <c r="C323" s="11" t="s">
        <v>395</v>
      </c>
      <c r="D323" s="14" t="s">
        <v>602</v>
      </c>
      <c r="E323" s="13" t="n">
        <v>89900</v>
      </c>
      <c r="F323" s="11" t="s">
        <v>1283</v>
      </c>
      <c r="G323" s="11" t="s">
        <v>1731</v>
      </c>
      <c r="H323" s="11" t="s">
        <v>1146</v>
      </c>
      <c r="I323" s="16" t="s">
        <v>1105</v>
      </c>
    </row>
    <row r="324" customFormat="false" ht="23.85" hidden="false" customHeight="false" outlineLevel="0" collapsed="false">
      <c r="A324" s="11" t="s">
        <v>367</v>
      </c>
      <c r="B324" s="11" t="s">
        <v>368</v>
      </c>
      <c r="C324" s="11" t="s">
        <v>395</v>
      </c>
      <c r="D324" s="14" t="s">
        <v>602</v>
      </c>
      <c r="E324" s="13" t="n">
        <v>129900</v>
      </c>
      <c r="F324" s="11" t="s">
        <v>1283</v>
      </c>
      <c r="G324" s="11" t="s">
        <v>1731</v>
      </c>
      <c r="H324" s="11" t="s">
        <v>1146</v>
      </c>
      <c r="I324" s="16" t="s">
        <v>1105</v>
      </c>
    </row>
    <row r="325" customFormat="false" ht="23.85" hidden="false" customHeight="false" outlineLevel="0" collapsed="false">
      <c r="A325" s="11" t="s">
        <v>372</v>
      </c>
      <c r="B325" s="11" t="s">
        <v>373</v>
      </c>
      <c r="C325" s="11" t="s">
        <v>375</v>
      </c>
      <c r="D325" s="14" t="s">
        <v>376</v>
      </c>
      <c r="E325" s="13" t="n">
        <v>8600</v>
      </c>
      <c r="F325" s="11" t="s">
        <v>1112</v>
      </c>
      <c r="G325" s="11" t="s">
        <v>1732</v>
      </c>
      <c r="H325" s="11" t="s">
        <v>1146</v>
      </c>
      <c r="I325" s="16" t="s">
        <v>1105</v>
      </c>
    </row>
    <row r="326" customFormat="false" ht="23.85" hidden="false" customHeight="false" outlineLevel="0" collapsed="false">
      <c r="A326" s="11" t="s">
        <v>372</v>
      </c>
      <c r="B326" s="11" t="s">
        <v>373</v>
      </c>
      <c r="C326" s="11" t="s">
        <v>1733</v>
      </c>
      <c r="D326" s="14" t="s">
        <v>1734</v>
      </c>
      <c r="E326" s="13" t="n">
        <v>29875.77</v>
      </c>
      <c r="F326" s="11" t="s">
        <v>1112</v>
      </c>
      <c r="G326" s="11" t="s">
        <v>1735</v>
      </c>
      <c r="H326" s="11" t="s">
        <v>1104</v>
      </c>
      <c r="I326" s="16" t="s">
        <v>1105</v>
      </c>
    </row>
    <row r="327" customFormat="false" ht="23.85" hidden="false" customHeight="false" outlineLevel="0" collapsed="false">
      <c r="A327" s="11" t="s">
        <v>372</v>
      </c>
      <c r="B327" s="11" t="s">
        <v>373</v>
      </c>
      <c r="C327" s="11" t="s">
        <v>987</v>
      </c>
      <c r="D327" s="14" t="s">
        <v>1736</v>
      </c>
      <c r="E327" s="13" t="n">
        <v>10606</v>
      </c>
      <c r="F327" s="11" t="s">
        <v>1112</v>
      </c>
      <c r="G327" s="11" t="s">
        <v>1737</v>
      </c>
      <c r="H327" s="11" t="s">
        <v>1133</v>
      </c>
      <c r="I327" s="16" t="s">
        <v>1105</v>
      </c>
    </row>
    <row r="328" customFormat="false" ht="23.85" hidden="false" customHeight="false" outlineLevel="0" collapsed="false">
      <c r="A328" s="11" t="s">
        <v>372</v>
      </c>
      <c r="B328" s="11" t="s">
        <v>373</v>
      </c>
      <c r="C328" s="11" t="s">
        <v>700</v>
      </c>
      <c r="D328" s="14" t="s">
        <v>1738</v>
      </c>
      <c r="E328" s="13" t="n">
        <v>34820</v>
      </c>
      <c r="F328" s="11" t="s">
        <v>1102</v>
      </c>
      <c r="G328" s="11" t="s">
        <v>1739</v>
      </c>
      <c r="H328" s="11" t="s">
        <v>1146</v>
      </c>
      <c r="I328" s="16" t="s">
        <v>1105</v>
      </c>
    </row>
    <row r="329" customFormat="false" ht="15" hidden="false" customHeight="false" outlineLevel="0" collapsed="false">
      <c r="A329" s="11" t="s">
        <v>377</v>
      </c>
      <c r="B329" s="11" t="s">
        <v>378</v>
      </c>
      <c r="C329" s="11" t="s">
        <v>380</v>
      </c>
      <c r="D329" s="14" t="s">
        <v>381</v>
      </c>
      <c r="E329" s="13" t="n">
        <v>9348.25</v>
      </c>
      <c r="F329" s="11" t="s">
        <v>1107</v>
      </c>
      <c r="G329" s="11" t="s">
        <v>1740</v>
      </c>
      <c r="H329" s="11" t="s">
        <v>1109</v>
      </c>
      <c r="I329" s="16" t="s">
        <v>1105</v>
      </c>
    </row>
    <row r="330" customFormat="false" ht="15" hidden="false" customHeight="false" outlineLevel="0" collapsed="false">
      <c r="A330" s="11" t="s">
        <v>377</v>
      </c>
      <c r="B330" s="11" t="s">
        <v>378</v>
      </c>
      <c r="C330" s="11" t="s">
        <v>380</v>
      </c>
      <c r="D330" s="14" t="s">
        <v>381</v>
      </c>
      <c r="E330" s="13" t="n">
        <v>214.15</v>
      </c>
      <c r="F330" s="11" t="s">
        <v>1107</v>
      </c>
      <c r="G330" s="11" t="s">
        <v>1740</v>
      </c>
      <c r="H330" s="11" t="s">
        <v>1109</v>
      </c>
      <c r="I330" s="16" t="s">
        <v>1105</v>
      </c>
    </row>
    <row r="331" customFormat="false" ht="15" hidden="false" customHeight="false" outlineLevel="0" collapsed="false">
      <c r="A331" s="11" t="s">
        <v>377</v>
      </c>
      <c r="B331" s="11" t="s">
        <v>378</v>
      </c>
      <c r="C331" s="11" t="s">
        <v>380</v>
      </c>
      <c r="D331" s="14" t="s">
        <v>381</v>
      </c>
      <c r="E331" s="13" t="n">
        <v>2340.5</v>
      </c>
      <c r="F331" s="11" t="s">
        <v>1107</v>
      </c>
      <c r="G331" s="11" t="s">
        <v>1740</v>
      </c>
      <c r="H331" s="11" t="s">
        <v>1109</v>
      </c>
      <c r="I331" s="16" t="s">
        <v>1105</v>
      </c>
    </row>
    <row r="332" customFormat="false" ht="15" hidden="false" customHeight="false" outlineLevel="0" collapsed="false">
      <c r="A332" s="11" t="s">
        <v>377</v>
      </c>
      <c r="B332" s="11" t="s">
        <v>378</v>
      </c>
      <c r="C332" s="11" t="s">
        <v>380</v>
      </c>
      <c r="D332" s="14" t="s">
        <v>381</v>
      </c>
      <c r="E332" s="13" t="n">
        <v>5625</v>
      </c>
      <c r="F332" s="11" t="s">
        <v>1107</v>
      </c>
      <c r="G332" s="11" t="s">
        <v>1740</v>
      </c>
      <c r="H332" s="11" t="s">
        <v>1109</v>
      </c>
      <c r="I332" s="16" t="s">
        <v>1105</v>
      </c>
    </row>
    <row r="333" customFormat="false" ht="15" hidden="false" customHeight="false" outlineLevel="0" collapsed="false">
      <c r="A333" s="11" t="s">
        <v>377</v>
      </c>
      <c r="B333" s="11" t="s">
        <v>378</v>
      </c>
      <c r="C333" s="11" t="s">
        <v>992</v>
      </c>
      <c r="D333" s="14" t="s">
        <v>381</v>
      </c>
      <c r="E333" s="13" t="n">
        <v>18232</v>
      </c>
      <c r="F333" s="11" t="s">
        <v>1107</v>
      </c>
      <c r="G333" s="11" t="s">
        <v>1741</v>
      </c>
      <c r="H333" s="11" t="s">
        <v>1109</v>
      </c>
      <c r="I333" s="16" t="s">
        <v>1105</v>
      </c>
    </row>
    <row r="334" customFormat="false" ht="15" hidden="false" customHeight="false" outlineLevel="0" collapsed="false">
      <c r="A334" s="11" t="s">
        <v>382</v>
      </c>
      <c r="B334" s="11" t="s">
        <v>383</v>
      </c>
      <c r="C334" s="11" t="s">
        <v>385</v>
      </c>
      <c r="D334" s="14" t="s">
        <v>386</v>
      </c>
      <c r="E334" s="13" t="n">
        <v>54125</v>
      </c>
      <c r="F334" s="11" t="s">
        <v>1107</v>
      </c>
      <c r="G334" s="11" t="s">
        <v>1742</v>
      </c>
      <c r="H334" s="11" t="s">
        <v>1109</v>
      </c>
      <c r="I334" s="16" t="s">
        <v>1105</v>
      </c>
    </row>
    <row r="335" customFormat="false" ht="15" hidden="false" customHeight="false" outlineLevel="0" collapsed="false">
      <c r="A335" s="11" t="s">
        <v>382</v>
      </c>
      <c r="B335" s="11" t="s">
        <v>383</v>
      </c>
      <c r="C335" s="11" t="s">
        <v>606</v>
      </c>
      <c r="D335" s="14" t="s">
        <v>1743</v>
      </c>
      <c r="E335" s="13" t="n">
        <v>11014.73</v>
      </c>
      <c r="F335" s="11" t="s">
        <v>1112</v>
      </c>
      <c r="G335" s="11" t="s">
        <v>1647</v>
      </c>
      <c r="H335" s="11" t="s">
        <v>1109</v>
      </c>
      <c r="I335" s="16" t="s">
        <v>1105</v>
      </c>
    </row>
    <row r="336" customFormat="false" ht="23.85" hidden="false" customHeight="false" outlineLevel="0" collapsed="false">
      <c r="A336" s="11" t="s">
        <v>382</v>
      </c>
      <c r="B336" s="11" t="s">
        <v>383</v>
      </c>
      <c r="C336" s="11" t="s">
        <v>1744</v>
      </c>
      <c r="D336" s="14" t="s">
        <v>1745</v>
      </c>
      <c r="E336" s="13" t="n">
        <v>9000</v>
      </c>
      <c r="F336" s="11" t="s">
        <v>1107</v>
      </c>
      <c r="G336" s="11" t="s">
        <v>1742</v>
      </c>
      <c r="H336" s="11" t="s">
        <v>1109</v>
      </c>
      <c r="I336" s="16" t="s">
        <v>1105</v>
      </c>
    </row>
    <row r="337" customFormat="false" ht="23.85" hidden="false" customHeight="false" outlineLevel="0" collapsed="false">
      <c r="A337" s="11" t="s">
        <v>382</v>
      </c>
      <c r="B337" s="11" t="s">
        <v>383</v>
      </c>
      <c r="C337" s="11" t="s">
        <v>1746</v>
      </c>
      <c r="D337" s="14" t="s">
        <v>1747</v>
      </c>
      <c r="E337" s="13" t="n">
        <v>8212.45</v>
      </c>
      <c r="F337" s="11" t="s">
        <v>1112</v>
      </c>
      <c r="G337" s="11" t="s">
        <v>1748</v>
      </c>
      <c r="H337" s="11" t="s">
        <v>1109</v>
      </c>
      <c r="I337" s="16" t="s">
        <v>1105</v>
      </c>
    </row>
    <row r="338" customFormat="false" ht="23.85" hidden="false" customHeight="false" outlineLevel="0" collapsed="false">
      <c r="A338" s="11" t="s">
        <v>387</v>
      </c>
      <c r="B338" s="11" t="s">
        <v>388</v>
      </c>
      <c r="C338" s="11" t="s">
        <v>390</v>
      </c>
      <c r="D338" s="14" t="s">
        <v>391</v>
      </c>
      <c r="E338" s="13" t="n">
        <v>1855.3</v>
      </c>
      <c r="F338" s="11" t="s">
        <v>1107</v>
      </c>
      <c r="G338" s="11" t="s">
        <v>1741</v>
      </c>
      <c r="H338" s="11" t="s">
        <v>1109</v>
      </c>
      <c r="I338" s="16" t="s">
        <v>1105</v>
      </c>
    </row>
    <row r="339" customFormat="false" ht="23.85" hidden="false" customHeight="false" outlineLevel="0" collapsed="false">
      <c r="A339" s="11" t="s">
        <v>387</v>
      </c>
      <c r="B339" s="11" t="s">
        <v>388</v>
      </c>
      <c r="C339" s="11" t="s">
        <v>390</v>
      </c>
      <c r="D339" s="14" t="s">
        <v>391</v>
      </c>
      <c r="E339" s="13" t="n">
        <v>2150.64</v>
      </c>
      <c r="F339" s="11" t="s">
        <v>1107</v>
      </c>
      <c r="G339" s="11" t="s">
        <v>1749</v>
      </c>
      <c r="H339" s="11" t="s">
        <v>1109</v>
      </c>
      <c r="I339" s="16" t="s">
        <v>1105</v>
      </c>
    </row>
    <row r="340" customFormat="false" ht="23.85" hidden="false" customHeight="false" outlineLevel="0" collapsed="false">
      <c r="A340" s="11" t="s">
        <v>387</v>
      </c>
      <c r="B340" s="11" t="s">
        <v>388</v>
      </c>
      <c r="C340" s="11" t="s">
        <v>390</v>
      </c>
      <c r="D340" s="14" t="s">
        <v>391</v>
      </c>
      <c r="E340" s="13" t="n">
        <v>1882.6</v>
      </c>
      <c r="F340" s="11" t="s">
        <v>1107</v>
      </c>
      <c r="G340" s="11" t="s">
        <v>1750</v>
      </c>
      <c r="H340" s="11" t="s">
        <v>1109</v>
      </c>
      <c r="I340" s="16" t="s">
        <v>1105</v>
      </c>
    </row>
    <row r="341" customFormat="false" ht="15" hidden="false" customHeight="false" outlineLevel="0" collapsed="false">
      <c r="A341" s="11" t="s">
        <v>387</v>
      </c>
      <c r="B341" s="11" t="s">
        <v>388</v>
      </c>
      <c r="C341" s="11" t="s">
        <v>1751</v>
      </c>
      <c r="D341" s="14" t="s">
        <v>1752</v>
      </c>
      <c r="E341" s="13" t="n">
        <v>6325</v>
      </c>
      <c r="F341" s="11" t="s">
        <v>1112</v>
      </c>
      <c r="G341" s="11" t="s">
        <v>1753</v>
      </c>
      <c r="H341" s="11" t="s">
        <v>1109</v>
      </c>
      <c r="I341" s="16" t="s">
        <v>1105</v>
      </c>
    </row>
    <row r="342" customFormat="false" ht="15" hidden="false" customHeight="false" outlineLevel="0" collapsed="false">
      <c r="A342" s="11" t="s">
        <v>392</v>
      </c>
      <c r="B342" s="11" t="s">
        <v>393</v>
      </c>
      <c r="C342" s="11" t="s">
        <v>395</v>
      </c>
      <c r="D342" s="14" t="s">
        <v>396</v>
      </c>
      <c r="E342" s="13" t="n">
        <v>14502.73</v>
      </c>
      <c r="F342" s="11" t="s">
        <v>1112</v>
      </c>
      <c r="G342" s="11" t="s">
        <v>1754</v>
      </c>
      <c r="H342" s="11" t="s">
        <v>1109</v>
      </c>
      <c r="I342" s="16" t="s">
        <v>1105</v>
      </c>
    </row>
    <row r="343" customFormat="false" ht="23.85" hidden="false" customHeight="false" outlineLevel="0" collapsed="false">
      <c r="A343" s="11" t="s">
        <v>392</v>
      </c>
      <c r="B343" s="11" t="s">
        <v>393</v>
      </c>
      <c r="C343" s="11" t="s">
        <v>1524</v>
      </c>
      <c r="D343" s="14" t="s">
        <v>1755</v>
      </c>
      <c r="E343" s="13" t="n">
        <v>36500</v>
      </c>
      <c r="F343" s="11" t="s">
        <v>1112</v>
      </c>
      <c r="G343" s="11" t="s">
        <v>1756</v>
      </c>
      <c r="H343" s="11" t="s">
        <v>1633</v>
      </c>
      <c r="I343" s="16" t="s">
        <v>1105</v>
      </c>
    </row>
    <row r="344" customFormat="false" ht="23.85" hidden="false" customHeight="false" outlineLevel="0" collapsed="false">
      <c r="A344" s="11" t="s">
        <v>392</v>
      </c>
      <c r="B344" s="11" t="s">
        <v>393</v>
      </c>
      <c r="C344" s="11" t="s">
        <v>1711</v>
      </c>
      <c r="D344" s="14" t="s">
        <v>1757</v>
      </c>
      <c r="E344" s="13" t="n">
        <v>19950</v>
      </c>
      <c r="F344" s="11" t="s">
        <v>1112</v>
      </c>
      <c r="G344" s="11" t="s">
        <v>1758</v>
      </c>
      <c r="H344" s="11" t="s">
        <v>1146</v>
      </c>
      <c r="I344" s="16" t="s">
        <v>1105</v>
      </c>
    </row>
    <row r="345" customFormat="false" ht="23.85" hidden="false" customHeight="false" outlineLevel="0" collapsed="false">
      <c r="A345" s="11" t="s">
        <v>397</v>
      </c>
      <c r="B345" s="11" t="s">
        <v>398</v>
      </c>
      <c r="C345" s="11" t="s">
        <v>400</v>
      </c>
      <c r="D345" s="14" t="s">
        <v>401</v>
      </c>
      <c r="E345" s="13" t="n">
        <v>12500</v>
      </c>
      <c r="F345" s="11" t="s">
        <v>1112</v>
      </c>
      <c r="G345" s="11" t="s">
        <v>1759</v>
      </c>
      <c r="H345" s="11" t="s">
        <v>1104</v>
      </c>
      <c r="I345" s="16" t="s">
        <v>1105</v>
      </c>
    </row>
    <row r="346" customFormat="false" ht="23.85" hidden="false" customHeight="false" outlineLevel="0" collapsed="false">
      <c r="A346" s="11" t="s">
        <v>397</v>
      </c>
      <c r="B346" s="11" t="s">
        <v>398</v>
      </c>
      <c r="C346" s="11" t="s">
        <v>1760</v>
      </c>
      <c r="D346" s="14" t="s">
        <v>1761</v>
      </c>
      <c r="E346" s="13" t="n">
        <v>13450</v>
      </c>
      <c r="F346" s="11" t="s">
        <v>1112</v>
      </c>
      <c r="G346" s="11" t="s">
        <v>1762</v>
      </c>
      <c r="H346" s="11" t="s">
        <v>1126</v>
      </c>
      <c r="I346" s="16" t="s">
        <v>1105</v>
      </c>
    </row>
    <row r="347" customFormat="false" ht="15" hidden="false" customHeight="false" outlineLevel="0" collapsed="false">
      <c r="A347" s="11" t="s">
        <v>397</v>
      </c>
      <c r="B347" s="11" t="s">
        <v>398</v>
      </c>
      <c r="C347" s="11" t="s">
        <v>1763</v>
      </c>
      <c r="D347" s="14" t="s">
        <v>1764</v>
      </c>
      <c r="E347" s="13" t="n">
        <v>13500</v>
      </c>
      <c r="F347" s="11" t="s">
        <v>1112</v>
      </c>
      <c r="G347" s="11" t="s">
        <v>1765</v>
      </c>
      <c r="H347" s="11" t="s">
        <v>1109</v>
      </c>
      <c r="I347" s="16" t="s">
        <v>1105</v>
      </c>
    </row>
    <row r="348" customFormat="false" ht="15" hidden="false" customHeight="false" outlineLevel="0" collapsed="false">
      <c r="A348" s="11" t="s">
        <v>402</v>
      </c>
      <c r="B348" s="11" t="s">
        <v>403</v>
      </c>
      <c r="C348" s="11" t="s">
        <v>405</v>
      </c>
      <c r="D348" s="14" t="s">
        <v>406</v>
      </c>
      <c r="E348" s="13" t="n">
        <v>13882.2</v>
      </c>
      <c r="F348" s="11" t="s">
        <v>1112</v>
      </c>
      <c r="G348" s="11" t="s">
        <v>1766</v>
      </c>
      <c r="H348" s="11" t="s">
        <v>1109</v>
      </c>
      <c r="I348" s="16" t="s">
        <v>1105</v>
      </c>
    </row>
    <row r="349" customFormat="false" ht="15" hidden="false" customHeight="false" outlineLevel="0" collapsed="false">
      <c r="A349" s="11" t="s">
        <v>402</v>
      </c>
      <c r="B349" s="11" t="s">
        <v>403</v>
      </c>
      <c r="C349" s="11" t="s">
        <v>1767</v>
      </c>
      <c r="D349" s="14" t="s">
        <v>1768</v>
      </c>
      <c r="E349" s="13" t="n">
        <v>5824.55</v>
      </c>
      <c r="F349" s="11" t="s">
        <v>1112</v>
      </c>
      <c r="G349" s="11" t="s">
        <v>1769</v>
      </c>
      <c r="H349" s="11" t="s">
        <v>1104</v>
      </c>
      <c r="I349" s="16" t="s">
        <v>1105</v>
      </c>
    </row>
    <row r="350" customFormat="false" ht="15" hidden="false" customHeight="false" outlineLevel="0" collapsed="false">
      <c r="A350" s="11" t="s">
        <v>402</v>
      </c>
      <c r="B350" s="11" t="s">
        <v>403</v>
      </c>
      <c r="C350" s="11" t="s">
        <v>1770</v>
      </c>
      <c r="D350" s="14" t="s">
        <v>1771</v>
      </c>
      <c r="E350" s="13" t="n">
        <v>9487.51</v>
      </c>
      <c r="F350" s="11" t="s">
        <v>1112</v>
      </c>
      <c r="G350" s="11" t="s">
        <v>1772</v>
      </c>
      <c r="H350" s="11" t="s">
        <v>1109</v>
      </c>
      <c r="I350" s="16" t="s">
        <v>1105</v>
      </c>
    </row>
    <row r="351" customFormat="false" ht="15" hidden="false" customHeight="false" outlineLevel="0" collapsed="false">
      <c r="A351" s="11" t="s">
        <v>407</v>
      </c>
      <c r="B351" s="11" t="s">
        <v>408</v>
      </c>
      <c r="C351" s="11" t="s">
        <v>410</v>
      </c>
      <c r="D351" s="14" t="s">
        <v>411</v>
      </c>
      <c r="E351" s="13" t="n">
        <v>40164.26</v>
      </c>
      <c r="F351" s="11" t="s">
        <v>1107</v>
      </c>
      <c r="G351" s="11" t="s">
        <v>1773</v>
      </c>
      <c r="H351" s="11" t="s">
        <v>1104</v>
      </c>
      <c r="I351" s="16" t="s">
        <v>1105</v>
      </c>
    </row>
    <row r="352" customFormat="false" ht="15" hidden="false" customHeight="false" outlineLevel="0" collapsed="false">
      <c r="A352" s="11" t="s">
        <v>407</v>
      </c>
      <c r="B352" s="11" t="s">
        <v>408</v>
      </c>
      <c r="C352" s="11" t="s">
        <v>1393</v>
      </c>
      <c r="D352" s="14" t="s">
        <v>1774</v>
      </c>
      <c r="E352" s="13" t="n">
        <v>34820.2</v>
      </c>
      <c r="F352" s="11" t="s">
        <v>1283</v>
      </c>
      <c r="G352" s="11" t="s">
        <v>1775</v>
      </c>
      <c r="H352" s="11" t="s">
        <v>1109</v>
      </c>
      <c r="I352" s="16" t="s">
        <v>1105</v>
      </c>
    </row>
    <row r="353" customFormat="false" ht="15" hidden="false" customHeight="false" outlineLevel="0" collapsed="false">
      <c r="A353" s="11" t="s">
        <v>407</v>
      </c>
      <c r="B353" s="11" t="s">
        <v>408</v>
      </c>
      <c r="C353" s="11" t="s">
        <v>1563</v>
      </c>
      <c r="D353" s="14" t="s">
        <v>1776</v>
      </c>
      <c r="E353" s="13" t="n">
        <v>60000</v>
      </c>
      <c r="F353" s="11" t="s">
        <v>1107</v>
      </c>
      <c r="G353" s="11" t="s">
        <v>1136</v>
      </c>
      <c r="H353" s="11" t="s">
        <v>1109</v>
      </c>
      <c r="I353" s="16" t="s">
        <v>1105</v>
      </c>
    </row>
    <row r="354" customFormat="false" ht="23.85" hidden="false" customHeight="false" outlineLevel="0" collapsed="false">
      <c r="A354" s="11" t="s">
        <v>412</v>
      </c>
      <c r="B354" s="11" t="s">
        <v>413</v>
      </c>
      <c r="C354" s="11" t="s">
        <v>90</v>
      </c>
      <c r="D354" s="14" t="s">
        <v>415</v>
      </c>
      <c r="E354" s="13" t="n">
        <v>16511.04</v>
      </c>
      <c r="F354" s="11" t="s">
        <v>1112</v>
      </c>
      <c r="G354" s="11" t="s">
        <v>1777</v>
      </c>
      <c r="H354" s="11" t="s">
        <v>1140</v>
      </c>
      <c r="I354" s="16" t="s">
        <v>1105</v>
      </c>
    </row>
    <row r="355" customFormat="false" ht="23.85" hidden="false" customHeight="false" outlineLevel="0" collapsed="false">
      <c r="A355" s="11" t="s">
        <v>412</v>
      </c>
      <c r="B355" s="11" t="s">
        <v>413</v>
      </c>
      <c r="C355" s="11" t="s">
        <v>466</v>
      </c>
      <c r="D355" s="14" t="s">
        <v>1778</v>
      </c>
      <c r="E355" s="13" t="n">
        <v>119984</v>
      </c>
      <c r="F355" s="11" t="s">
        <v>1102</v>
      </c>
      <c r="G355" s="11" t="s">
        <v>1779</v>
      </c>
      <c r="H355" s="11" t="s">
        <v>1109</v>
      </c>
      <c r="I355" s="16" t="s">
        <v>1105</v>
      </c>
    </row>
    <row r="356" customFormat="false" ht="23.85" hidden="false" customHeight="false" outlineLevel="0" collapsed="false">
      <c r="A356" s="11" t="s">
        <v>412</v>
      </c>
      <c r="B356" s="11" t="s">
        <v>413</v>
      </c>
      <c r="C356" s="11" t="s">
        <v>1780</v>
      </c>
      <c r="D356" s="14" t="s">
        <v>1781</v>
      </c>
      <c r="E356" s="13" t="n">
        <v>7500</v>
      </c>
      <c r="F356" s="11" t="s">
        <v>1112</v>
      </c>
      <c r="G356" s="11" t="s">
        <v>1782</v>
      </c>
      <c r="H356" s="11" t="s">
        <v>1146</v>
      </c>
      <c r="I356" s="16" t="s">
        <v>1105</v>
      </c>
    </row>
    <row r="357" customFormat="false" ht="23.85" hidden="false" customHeight="false" outlineLevel="0" collapsed="false">
      <c r="A357" s="11" t="s">
        <v>412</v>
      </c>
      <c r="B357" s="11" t="s">
        <v>413</v>
      </c>
      <c r="C357" s="11" t="s">
        <v>839</v>
      </c>
      <c r="D357" s="14" t="s">
        <v>1783</v>
      </c>
      <c r="E357" s="13" t="n">
        <v>49900</v>
      </c>
      <c r="F357" s="11" t="s">
        <v>1107</v>
      </c>
      <c r="G357" s="11" t="s">
        <v>1784</v>
      </c>
      <c r="H357" s="11" t="s">
        <v>1146</v>
      </c>
      <c r="I357" s="16" t="s">
        <v>1105</v>
      </c>
    </row>
    <row r="358" customFormat="false" ht="23.85" hidden="false" customHeight="false" outlineLevel="0" collapsed="false">
      <c r="A358" s="11" t="s">
        <v>416</v>
      </c>
      <c r="B358" s="11" t="s">
        <v>417</v>
      </c>
      <c r="C358" s="11" t="s">
        <v>419</v>
      </c>
      <c r="D358" s="14" t="s">
        <v>420</v>
      </c>
      <c r="E358" s="13" t="n">
        <v>19000</v>
      </c>
      <c r="F358" s="11" t="s">
        <v>1112</v>
      </c>
      <c r="G358" s="11" t="s">
        <v>1785</v>
      </c>
      <c r="H358" s="11" t="s">
        <v>1146</v>
      </c>
      <c r="I358" s="16" t="s">
        <v>1105</v>
      </c>
    </row>
    <row r="359" customFormat="false" ht="23.85" hidden="false" customHeight="false" outlineLevel="0" collapsed="false">
      <c r="A359" s="11" t="s">
        <v>416</v>
      </c>
      <c r="B359" s="11" t="s">
        <v>417</v>
      </c>
      <c r="C359" s="11" t="s">
        <v>1786</v>
      </c>
      <c r="D359" s="14" t="s">
        <v>1787</v>
      </c>
      <c r="E359" s="13" t="n">
        <v>19600</v>
      </c>
      <c r="F359" s="11" t="s">
        <v>1112</v>
      </c>
      <c r="G359" s="11" t="s">
        <v>1788</v>
      </c>
      <c r="H359" s="11" t="s">
        <v>1271</v>
      </c>
      <c r="I359" s="16" t="s">
        <v>1105</v>
      </c>
    </row>
    <row r="360" customFormat="false" ht="23.85" hidden="false" customHeight="false" outlineLevel="0" collapsed="false">
      <c r="A360" s="11" t="s">
        <v>421</v>
      </c>
      <c r="B360" s="11" t="s">
        <v>422</v>
      </c>
      <c r="C360" s="11" t="s">
        <v>95</v>
      </c>
      <c r="D360" s="14" t="s">
        <v>424</v>
      </c>
      <c r="E360" s="13" t="n">
        <v>19980</v>
      </c>
      <c r="F360" s="11" t="s">
        <v>1112</v>
      </c>
      <c r="G360" s="11" t="s">
        <v>1789</v>
      </c>
      <c r="H360" s="11" t="s">
        <v>1109</v>
      </c>
      <c r="I360" s="16" t="s">
        <v>1105</v>
      </c>
    </row>
    <row r="361" customFormat="false" ht="23.85" hidden="false" customHeight="false" outlineLevel="0" collapsed="false">
      <c r="A361" s="11" t="s">
        <v>421</v>
      </c>
      <c r="B361" s="11" t="s">
        <v>422</v>
      </c>
      <c r="C361" s="11" t="s">
        <v>1649</v>
      </c>
      <c r="D361" s="14" t="s">
        <v>1790</v>
      </c>
      <c r="E361" s="13" t="n">
        <v>6520</v>
      </c>
      <c r="F361" s="11" t="s">
        <v>1112</v>
      </c>
      <c r="G361" s="11" t="s">
        <v>1791</v>
      </c>
      <c r="H361" s="11" t="s">
        <v>1109</v>
      </c>
      <c r="I361" s="16" t="s">
        <v>1105</v>
      </c>
    </row>
    <row r="362" customFormat="false" ht="23.85" hidden="false" customHeight="false" outlineLevel="0" collapsed="false">
      <c r="A362" s="11" t="s">
        <v>421</v>
      </c>
      <c r="B362" s="11" t="s">
        <v>422</v>
      </c>
      <c r="C362" s="11" t="s">
        <v>1792</v>
      </c>
      <c r="D362" s="14" t="s">
        <v>1793</v>
      </c>
      <c r="E362" s="13" t="n">
        <v>11670</v>
      </c>
      <c r="F362" s="11" t="s">
        <v>1112</v>
      </c>
      <c r="G362" s="11" t="s">
        <v>1794</v>
      </c>
      <c r="H362" s="11" t="s">
        <v>1109</v>
      </c>
      <c r="I362" s="16" t="s">
        <v>1105</v>
      </c>
    </row>
    <row r="363" customFormat="false" ht="15" hidden="false" customHeight="false" outlineLevel="0" collapsed="false">
      <c r="A363" s="11" t="s">
        <v>425</v>
      </c>
      <c r="B363" s="11" t="s">
        <v>426</v>
      </c>
      <c r="C363" s="11" t="s">
        <v>428</v>
      </c>
      <c r="D363" s="14" t="s">
        <v>429</v>
      </c>
      <c r="E363" s="13" t="n">
        <v>56097.56</v>
      </c>
      <c r="F363" s="11" t="s">
        <v>1107</v>
      </c>
      <c r="G363" s="11" t="s">
        <v>1795</v>
      </c>
      <c r="H363" s="11" t="s">
        <v>1109</v>
      </c>
      <c r="I363" s="16" t="s">
        <v>1105</v>
      </c>
    </row>
    <row r="364" customFormat="false" ht="15" hidden="false" customHeight="false" outlineLevel="0" collapsed="false">
      <c r="A364" s="11" t="s">
        <v>425</v>
      </c>
      <c r="B364" s="11" t="s">
        <v>426</v>
      </c>
      <c r="C364" s="11" t="s">
        <v>428</v>
      </c>
      <c r="D364" s="14" t="s">
        <v>1796</v>
      </c>
      <c r="E364" s="13" t="n">
        <v>12000</v>
      </c>
      <c r="F364" s="11" t="s">
        <v>1112</v>
      </c>
      <c r="G364" s="11" t="s">
        <v>1797</v>
      </c>
      <c r="H364" s="11" t="s">
        <v>1109</v>
      </c>
      <c r="I364" s="16" t="s">
        <v>1105</v>
      </c>
    </row>
    <row r="365" customFormat="false" ht="23.85" hidden="false" customHeight="false" outlineLevel="0" collapsed="false">
      <c r="A365" s="11" t="s">
        <v>425</v>
      </c>
      <c r="B365" s="11" t="s">
        <v>426</v>
      </c>
      <c r="C365" s="11" t="s">
        <v>1798</v>
      </c>
      <c r="D365" s="14" t="s">
        <v>1799</v>
      </c>
      <c r="E365" s="13" t="n">
        <v>5310</v>
      </c>
      <c r="F365" s="11" t="s">
        <v>1112</v>
      </c>
      <c r="G365" s="11" t="s">
        <v>1710</v>
      </c>
      <c r="H365" s="11" t="s">
        <v>1109</v>
      </c>
      <c r="I365" s="16" t="s">
        <v>1105</v>
      </c>
    </row>
    <row r="366" customFormat="false" ht="23.85" hidden="false" customHeight="false" outlineLevel="0" collapsed="false">
      <c r="A366" s="11" t="s">
        <v>430</v>
      </c>
      <c r="B366" s="11" t="s">
        <v>431</v>
      </c>
      <c r="C366" s="11" t="s">
        <v>433</v>
      </c>
      <c r="D366" s="14" t="s">
        <v>434</v>
      </c>
      <c r="E366" s="13" t="n">
        <v>9995.05</v>
      </c>
      <c r="F366" s="11" t="s">
        <v>1112</v>
      </c>
      <c r="G366" s="11" t="s">
        <v>1800</v>
      </c>
      <c r="H366" s="11" t="s">
        <v>1133</v>
      </c>
      <c r="I366" s="16" t="s">
        <v>1105</v>
      </c>
    </row>
    <row r="367" customFormat="false" ht="23.85" hidden="false" customHeight="false" outlineLevel="0" collapsed="false">
      <c r="A367" s="11" t="s">
        <v>430</v>
      </c>
      <c r="B367" s="11" t="s">
        <v>431</v>
      </c>
      <c r="C367" s="11" t="s">
        <v>1801</v>
      </c>
      <c r="D367" s="14" t="s">
        <v>1802</v>
      </c>
      <c r="E367" s="13" t="n">
        <v>6182.5</v>
      </c>
      <c r="F367" s="11" t="s">
        <v>1112</v>
      </c>
      <c r="G367" s="11" t="s">
        <v>1803</v>
      </c>
      <c r="H367" s="11" t="s">
        <v>1140</v>
      </c>
      <c r="I367" s="16" t="s">
        <v>1105</v>
      </c>
    </row>
    <row r="368" customFormat="false" ht="15" hidden="false" customHeight="false" outlineLevel="0" collapsed="false">
      <c r="A368" s="11" t="s">
        <v>430</v>
      </c>
      <c r="B368" s="11" t="s">
        <v>431</v>
      </c>
      <c r="C368" s="11" t="s">
        <v>700</v>
      </c>
      <c r="D368" s="14" t="s">
        <v>1804</v>
      </c>
      <c r="E368" s="13" t="n">
        <v>8396.85</v>
      </c>
      <c r="F368" s="11" t="s">
        <v>1112</v>
      </c>
      <c r="G368" s="11" t="s">
        <v>1805</v>
      </c>
      <c r="H368" s="11" t="s">
        <v>1140</v>
      </c>
      <c r="I368" s="16" t="s">
        <v>1105</v>
      </c>
    </row>
    <row r="369" customFormat="false" ht="15" hidden="false" customHeight="false" outlineLevel="0" collapsed="false">
      <c r="A369" s="11" t="s">
        <v>435</v>
      </c>
      <c r="B369" s="11" t="s">
        <v>436</v>
      </c>
      <c r="C369" s="11" t="s">
        <v>438</v>
      </c>
      <c r="D369" s="14" t="s">
        <v>439</v>
      </c>
      <c r="E369" s="13" t="n">
        <v>8100</v>
      </c>
      <c r="F369" s="11" t="s">
        <v>1112</v>
      </c>
      <c r="G369" s="11" t="s">
        <v>1806</v>
      </c>
      <c r="H369" s="11" t="s">
        <v>1109</v>
      </c>
      <c r="I369" s="16" t="s">
        <v>1105</v>
      </c>
    </row>
    <row r="370" customFormat="false" ht="23.85" hidden="false" customHeight="false" outlineLevel="0" collapsed="false">
      <c r="A370" s="11" t="s">
        <v>435</v>
      </c>
      <c r="B370" s="11" t="s">
        <v>436</v>
      </c>
      <c r="C370" s="11" t="s">
        <v>814</v>
      </c>
      <c r="D370" s="14" t="s">
        <v>1807</v>
      </c>
      <c r="E370" s="13" t="n">
        <v>15000</v>
      </c>
      <c r="F370" s="11" t="s">
        <v>1112</v>
      </c>
      <c r="G370" s="11" t="s">
        <v>1808</v>
      </c>
      <c r="H370" s="11" t="s">
        <v>1109</v>
      </c>
      <c r="I370" s="16" t="s">
        <v>1105</v>
      </c>
    </row>
    <row r="371" customFormat="false" ht="23.85" hidden="false" customHeight="false" outlineLevel="0" collapsed="false">
      <c r="A371" s="11" t="s">
        <v>435</v>
      </c>
      <c r="B371" s="11" t="s">
        <v>436</v>
      </c>
      <c r="C371" s="11" t="s">
        <v>1809</v>
      </c>
      <c r="D371" s="14" t="s">
        <v>1810</v>
      </c>
      <c r="E371" s="13" t="n">
        <v>8013</v>
      </c>
      <c r="F371" s="11" t="s">
        <v>1112</v>
      </c>
      <c r="G371" s="11" t="s">
        <v>1811</v>
      </c>
      <c r="H371" s="11" t="s">
        <v>1109</v>
      </c>
      <c r="I371" s="16" t="s">
        <v>1105</v>
      </c>
    </row>
    <row r="372" customFormat="false" ht="23.85" hidden="false" customHeight="false" outlineLevel="0" collapsed="false">
      <c r="A372" s="11" t="s">
        <v>440</v>
      </c>
      <c r="B372" s="11" t="s">
        <v>441</v>
      </c>
      <c r="C372" s="11" t="s">
        <v>443</v>
      </c>
      <c r="D372" s="14" t="s">
        <v>444</v>
      </c>
      <c r="E372" s="13" t="n">
        <v>9893</v>
      </c>
      <c r="F372" s="11" t="s">
        <v>1107</v>
      </c>
      <c r="G372" s="11" t="s">
        <v>1812</v>
      </c>
      <c r="H372" s="11" t="s">
        <v>1109</v>
      </c>
      <c r="I372" s="16" t="s">
        <v>1105</v>
      </c>
    </row>
    <row r="373" customFormat="false" ht="23.85" hidden="false" customHeight="false" outlineLevel="0" collapsed="false">
      <c r="A373" s="11" t="s">
        <v>440</v>
      </c>
      <c r="B373" s="11" t="s">
        <v>441</v>
      </c>
      <c r="C373" s="11" t="s">
        <v>443</v>
      </c>
      <c r="D373" s="14" t="s">
        <v>1813</v>
      </c>
      <c r="E373" s="13" t="n">
        <v>34542</v>
      </c>
      <c r="F373" s="11" t="s">
        <v>1107</v>
      </c>
      <c r="G373" s="11" t="s">
        <v>1814</v>
      </c>
      <c r="H373" s="11" t="s">
        <v>1109</v>
      </c>
      <c r="I373" s="16" t="s">
        <v>1105</v>
      </c>
    </row>
    <row r="374" customFormat="false" ht="23.85" hidden="false" customHeight="false" outlineLevel="0" collapsed="false">
      <c r="A374" s="11" t="s">
        <v>440</v>
      </c>
      <c r="B374" s="11" t="s">
        <v>441</v>
      </c>
      <c r="C374" s="11" t="s">
        <v>1815</v>
      </c>
      <c r="D374" s="14" t="s">
        <v>1816</v>
      </c>
      <c r="E374" s="13" t="n">
        <v>10000</v>
      </c>
      <c r="F374" s="11" t="s">
        <v>1112</v>
      </c>
      <c r="G374" s="11" t="s">
        <v>1817</v>
      </c>
      <c r="H374" s="11" t="s">
        <v>1109</v>
      </c>
      <c r="I374" s="16" t="s">
        <v>1105</v>
      </c>
    </row>
    <row r="375" customFormat="false" ht="23.85" hidden="false" customHeight="false" outlineLevel="0" collapsed="false">
      <c r="A375" s="11" t="s">
        <v>445</v>
      </c>
      <c r="B375" s="11" t="s">
        <v>446</v>
      </c>
      <c r="C375" s="11" t="s">
        <v>448</v>
      </c>
      <c r="D375" s="14" t="s">
        <v>449</v>
      </c>
      <c r="E375" s="13" t="n">
        <v>5661.06</v>
      </c>
      <c r="F375" s="11" t="s">
        <v>1112</v>
      </c>
      <c r="G375" s="11" t="s">
        <v>1467</v>
      </c>
      <c r="H375" s="11" t="s">
        <v>1109</v>
      </c>
      <c r="I375" s="16" t="s">
        <v>1105</v>
      </c>
    </row>
    <row r="376" customFormat="false" ht="23.85" hidden="false" customHeight="false" outlineLevel="0" collapsed="false">
      <c r="A376" s="11" t="s">
        <v>445</v>
      </c>
      <c r="B376" s="11" t="s">
        <v>446</v>
      </c>
      <c r="C376" s="11" t="s">
        <v>854</v>
      </c>
      <c r="D376" s="14" t="s">
        <v>1818</v>
      </c>
      <c r="E376" s="13" t="n">
        <v>7000</v>
      </c>
      <c r="F376" s="11" t="s">
        <v>1112</v>
      </c>
      <c r="G376" s="11" t="s">
        <v>1819</v>
      </c>
      <c r="H376" s="11" t="s">
        <v>1109</v>
      </c>
      <c r="I376" s="16" t="s">
        <v>1105</v>
      </c>
    </row>
    <row r="377" customFormat="false" ht="23.85" hidden="false" customHeight="false" outlineLevel="0" collapsed="false">
      <c r="A377" s="11" t="s">
        <v>445</v>
      </c>
      <c r="B377" s="11" t="s">
        <v>446</v>
      </c>
      <c r="C377" s="11" t="s">
        <v>1079</v>
      </c>
      <c r="D377" s="14" t="s">
        <v>1820</v>
      </c>
      <c r="E377" s="13" t="n">
        <v>19890</v>
      </c>
      <c r="F377" s="11" t="s">
        <v>1112</v>
      </c>
      <c r="G377" s="11" t="s">
        <v>1821</v>
      </c>
      <c r="H377" s="11" t="s">
        <v>1109</v>
      </c>
      <c r="I377" s="16" t="s">
        <v>1105</v>
      </c>
    </row>
    <row r="378" customFormat="false" ht="15" hidden="false" customHeight="false" outlineLevel="0" collapsed="false">
      <c r="A378" s="11" t="s">
        <v>450</v>
      </c>
      <c r="B378" s="11" t="s">
        <v>451</v>
      </c>
      <c r="C378" s="11" t="s">
        <v>419</v>
      </c>
      <c r="D378" s="14" t="s">
        <v>453</v>
      </c>
      <c r="E378" s="13" t="n">
        <v>1079.5</v>
      </c>
      <c r="F378" s="11" t="s">
        <v>1107</v>
      </c>
      <c r="G378" s="11" t="s">
        <v>1822</v>
      </c>
      <c r="H378" s="11" t="s">
        <v>1109</v>
      </c>
      <c r="I378" s="16" t="s">
        <v>1105</v>
      </c>
    </row>
    <row r="379" customFormat="false" ht="15" hidden="false" customHeight="false" outlineLevel="0" collapsed="false">
      <c r="A379" s="11" t="s">
        <v>450</v>
      </c>
      <c r="B379" s="11" t="s">
        <v>451</v>
      </c>
      <c r="C379" s="11" t="s">
        <v>419</v>
      </c>
      <c r="D379" s="14" t="s">
        <v>453</v>
      </c>
      <c r="E379" s="13" t="n">
        <v>478</v>
      </c>
      <c r="F379" s="11" t="s">
        <v>1107</v>
      </c>
      <c r="G379" s="11" t="s">
        <v>1823</v>
      </c>
      <c r="H379" s="11" t="s">
        <v>1109</v>
      </c>
      <c r="I379" s="16" t="s">
        <v>1105</v>
      </c>
    </row>
    <row r="380" customFormat="false" ht="15" hidden="false" customHeight="false" outlineLevel="0" collapsed="false">
      <c r="A380" s="11" t="s">
        <v>450</v>
      </c>
      <c r="B380" s="11" t="s">
        <v>451</v>
      </c>
      <c r="C380" s="11" t="s">
        <v>1824</v>
      </c>
      <c r="D380" s="14" t="s">
        <v>1825</v>
      </c>
      <c r="E380" s="13" t="n">
        <v>2639.64</v>
      </c>
      <c r="F380" s="11" t="s">
        <v>1112</v>
      </c>
      <c r="G380" s="11" t="s">
        <v>1826</v>
      </c>
      <c r="H380" s="11" t="s">
        <v>1109</v>
      </c>
      <c r="I380" s="16" t="s">
        <v>1105</v>
      </c>
    </row>
    <row r="381" customFormat="false" ht="15" hidden="false" customHeight="false" outlineLevel="0" collapsed="false">
      <c r="A381" s="11" t="s">
        <v>454</v>
      </c>
      <c r="B381" s="11" t="s">
        <v>455</v>
      </c>
      <c r="C381" s="11" t="s">
        <v>457</v>
      </c>
      <c r="D381" s="14" t="s">
        <v>339</v>
      </c>
      <c r="E381" s="13" t="n">
        <v>2719.9</v>
      </c>
      <c r="F381" s="11" t="s">
        <v>1107</v>
      </c>
      <c r="G381" s="11" t="s">
        <v>1590</v>
      </c>
      <c r="H381" s="11" t="s">
        <v>1109</v>
      </c>
      <c r="I381" s="16" t="s">
        <v>1105</v>
      </c>
    </row>
    <row r="382" customFormat="false" ht="15" hidden="false" customHeight="false" outlineLevel="0" collapsed="false">
      <c r="A382" s="11" t="s">
        <v>454</v>
      </c>
      <c r="B382" s="11" t="s">
        <v>455</v>
      </c>
      <c r="C382" s="11" t="s">
        <v>540</v>
      </c>
      <c r="D382" s="14" t="s">
        <v>1827</v>
      </c>
      <c r="E382" s="13" t="n">
        <v>11033.14</v>
      </c>
      <c r="F382" s="11" t="s">
        <v>1112</v>
      </c>
      <c r="G382" s="11" t="s">
        <v>1823</v>
      </c>
      <c r="H382" s="11" t="s">
        <v>1109</v>
      </c>
      <c r="I382" s="16" t="s">
        <v>1105</v>
      </c>
    </row>
    <row r="383" customFormat="false" ht="15" hidden="false" customHeight="false" outlineLevel="0" collapsed="false">
      <c r="A383" s="11" t="s">
        <v>454</v>
      </c>
      <c r="B383" s="11" t="s">
        <v>455</v>
      </c>
      <c r="C383" s="11" t="s">
        <v>1828</v>
      </c>
      <c r="D383" s="14" t="s">
        <v>1829</v>
      </c>
      <c r="E383" s="13" t="n">
        <v>41479.45</v>
      </c>
      <c r="F383" s="11" t="s">
        <v>1107</v>
      </c>
      <c r="G383" s="11" t="s">
        <v>1741</v>
      </c>
      <c r="H383" s="11" t="s">
        <v>1109</v>
      </c>
      <c r="I383" s="16" t="s">
        <v>1105</v>
      </c>
    </row>
    <row r="384" customFormat="false" ht="15" hidden="false" customHeight="false" outlineLevel="0" collapsed="false">
      <c r="A384" s="11" t="s">
        <v>454</v>
      </c>
      <c r="B384" s="11" t="s">
        <v>455</v>
      </c>
      <c r="C384" s="11" t="s">
        <v>1830</v>
      </c>
      <c r="D384" s="14" t="s">
        <v>907</v>
      </c>
      <c r="E384" s="13" t="n">
        <v>1399.83</v>
      </c>
      <c r="F384" s="11" t="s">
        <v>1112</v>
      </c>
      <c r="G384" s="11" t="s">
        <v>1831</v>
      </c>
      <c r="H384" s="11" t="s">
        <v>1109</v>
      </c>
      <c r="I384" s="16" t="s">
        <v>1105</v>
      </c>
    </row>
    <row r="385" customFormat="false" ht="15" hidden="false" customHeight="false" outlineLevel="0" collapsed="false">
      <c r="A385" s="11" t="s">
        <v>458</v>
      </c>
      <c r="B385" s="11" t="s">
        <v>459</v>
      </c>
      <c r="C385" s="11" t="s">
        <v>461</v>
      </c>
      <c r="D385" s="14" t="s">
        <v>462</v>
      </c>
      <c r="E385" s="13" t="n">
        <v>11273.13</v>
      </c>
      <c r="F385" s="11" t="s">
        <v>1102</v>
      </c>
      <c r="G385" s="11" t="s">
        <v>1832</v>
      </c>
      <c r="H385" s="11" t="s">
        <v>1140</v>
      </c>
      <c r="I385" s="16" t="s">
        <v>1105</v>
      </c>
    </row>
    <row r="386" customFormat="false" ht="35.05" hidden="false" customHeight="false" outlineLevel="0" collapsed="false">
      <c r="A386" s="11" t="s">
        <v>458</v>
      </c>
      <c r="B386" s="11" t="s">
        <v>459</v>
      </c>
      <c r="C386" s="11" t="s">
        <v>1500</v>
      </c>
      <c r="D386" s="14" t="s">
        <v>1833</v>
      </c>
      <c r="E386" s="13" t="n">
        <v>159950</v>
      </c>
      <c r="F386" s="11" t="s">
        <v>1102</v>
      </c>
      <c r="G386" s="11" t="s">
        <v>1834</v>
      </c>
      <c r="H386" s="11" t="s">
        <v>1146</v>
      </c>
      <c r="I386" s="16" t="s">
        <v>1105</v>
      </c>
    </row>
    <row r="387" customFormat="false" ht="35.05" hidden="false" customHeight="false" outlineLevel="0" collapsed="false">
      <c r="A387" s="11" t="s">
        <v>458</v>
      </c>
      <c r="B387" s="11" t="s">
        <v>459</v>
      </c>
      <c r="C387" s="11" t="s">
        <v>1251</v>
      </c>
      <c r="D387" s="14" t="s">
        <v>1833</v>
      </c>
      <c r="E387" s="13" t="n">
        <v>76500</v>
      </c>
      <c r="F387" s="11" t="s">
        <v>1102</v>
      </c>
      <c r="G387" s="11" t="s">
        <v>1835</v>
      </c>
      <c r="H387" s="11" t="s">
        <v>1146</v>
      </c>
      <c r="I387" s="16" t="s">
        <v>1105</v>
      </c>
    </row>
    <row r="388" customFormat="false" ht="15" hidden="false" customHeight="false" outlineLevel="0" collapsed="false">
      <c r="A388" s="11" t="s">
        <v>458</v>
      </c>
      <c r="B388" s="11" t="s">
        <v>459</v>
      </c>
      <c r="C388" s="11" t="s">
        <v>601</v>
      </c>
      <c r="D388" s="14" t="s">
        <v>1836</v>
      </c>
      <c r="E388" s="13" t="n">
        <v>480000</v>
      </c>
      <c r="F388" s="11" t="s">
        <v>1437</v>
      </c>
      <c r="G388" s="11" t="s">
        <v>1837</v>
      </c>
      <c r="H388" s="11" t="s">
        <v>1104</v>
      </c>
      <c r="I388" s="16" t="s">
        <v>1105</v>
      </c>
    </row>
    <row r="389" customFormat="false" ht="23.85" hidden="false" customHeight="false" outlineLevel="0" collapsed="false">
      <c r="A389" s="11" t="s">
        <v>458</v>
      </c>
      <c r="B389" s="11" t="s">
        <v>459</v>
      </c>
      <c r="C389" s="11" t="s">
        <v>1838</v>
      </c>
      <c r="D389" s="14" t="s">
        <v>1839</v>
      </c>
      <c r="E389" s="13" t="n">
        <v>11400</v>
      </c>
      <c r="F389" s="11" t="s">
        <v>1112</v>
      </c>
      <c r="G389" s="11" t="s">
        <v>1840</v>
      </c>
      <c r="H389" s="11" t="s">
        <v>1109</v>
      </c>
      <c r="I389" s="16" t="s">
        <v>1105</v>
      </c>
    </row>
    <row r="390" customFormat="false" ht="23.85" hidden="false" customHeight="false" outlineLevel="0" collapsed="false">
      <c r="A390" s="11" t="s">
        <v>463</v>
      </c>
      <c r="B390" s="11" t="s">
        <v>464</v>
      </c>
      <c r="C390" s="11" t="s">
        <v>466</v>
      </c>
      <c r="D390" s="14" t="s">
        <v>467</v>
      </c>
      <c r="E390" s="13" t="n">
        <v>14120</v>
      </c>
      <c r="F390" s="11" t="s">
        <v>1112</v>
      </c>
      <c r="G390" s="11" t="s">
        <v>1841</v>
      </c>
      <c r="H390" s="11" t="s">
        <v>1842</v>
      </c>
      <c r="I390" s="16" t="s">
        <v>1105</v>
      </c>
    </row>
    <row r="391" customFormat="false" ht="15" hidden="false" customHeight="false" outlineLevel="0" collapsed="false">
      <c r="A391" s="11" t="s">
        <v>468</v>
      </c>
      <c r="B391" s="11" t="s">
        <v>469</v>
      </c>
      <c r="C391" s="11" t="s">
        <v>471</v>
      </c>
      <c r="D391" s="14" t="s">
        <v>472</v>
      </c>
      <c r="E391" s="13" t="n">
        <v>4791.94</v>
      </c>
      <c r="F391" s="11" t="s">
        <v>1112</v>
      </c>
      <c r="G391" s="11" t="s">
        <v>1843</v>
      </c>
      <c r="H391" s="11" t="s">
        <v>1104</v>
      </c>
      <c r="I391" s="16" t="s">
        <v>1105</v>
      </c>
    </row>
    <row r="392" customFormat="false" ht="15" hidden="false" customHeight="false" outlineLevel="0" collapsed="false">
      <c r="A392" s="11" t="s">
        <v>468</v>
      </c>
      <c r="B392" s="11" t="s">
        <v>469</v>
      </c>
      <c r="C392" s="11" t="s">
        <v>1570</v>
      </c>
      <c r="D392" s="14" t="s">
        <v>1844</v>
      </c>
      <c r="E392" s="13" t="n">
        <v>4000</v>
      </c>
      <c r="F392" s="11" t="s">
        <v>1107</v>
      </c>
      <c r="G392" s="11" t="s">
        <v>1488</v>
      </c>
      <c r="H392" s="11" t="s">
        <v>1109</v>
      </c>
      <c r="I392" s="16" t="s">
        <v>1105</v>
      </c>
    </row>
    <row r="393" customFormat="false" ht="23.85" hidden="false" customHeight="false" outlineLevel="0" collapsed="false">
      <c r="A393" s="11" t="s">
        <v>473</v>
      </c>
      <c r="B393" s="11" t="s">
        <v>474</v>
      </c>
      <c r="C393" s="11" t="s">
        <v>476</v>
      </c>
      <c r="D393" s="14" t="s">
        <v>477</v>
      </c>
      <c r="E393" s="13" t="n">
        <v>9785</v>
      </c>
      <c r="F393" s="11" t="s">
        <v>1169</v>
      </c>
      <c r="G393" s="11" t="s">
        <v>1845</v>
      </c>
      <c r="H393" s="11" t="s">
        <v>1104</v>
      </c>
      <c r="I393" s="16" t="s">
        <v>1105</v>
      </c>
    </row>
    <row r="394" customFormat="false" ht="23.85" hidden="false" customHeight="false" outlineLevel="0" collapsed="false">
      <c r="A394" s="11" t="s">
        <v>473</v>
      </c>
      <c r="B394" s="11" t="s">
        <v>474</v>
      </c>
      <c r="C394" s="11" t="s">
        <v>476</v>
      </c>
      <c r="D394" s="14" t="s">
        <v>1846</v>
      </c>
      <c r="E394" s="13" t="n">
        <v>26808</v>
      </c>
      <c r="F394" s="11" t="s">
        <v>1169</v>
      </c>
      <c r="G394" s="11" t="s">
        <v>1847</v>
      </c>
      <c r="H394" s="11" t="s">
        <v>1109</v>
      </c>
      <c r="I394" s="16" t="s">
        <v>1105</v>
      </c>
    </row>
    <row r="395" customFormat="false" ht="23.85" hidden="false" customHeight="false" outlineLevel="0" collapsed="false">
      <c r="A395" s="11" t="s">
        <v>473</v>
      </c>
      <c r="B395" s="11" t="s">
        <v>474</v>
      </c>
      <c r="C395" s="11" t="s">
        <v>282</v>
      </c>
      <c r="D395" s="14" t="s">
        <v>1848</v>
      </c>
      <c r="E395" s="13" t="n">
        <v>8723.08</v>
      </c>
      <c r="F395" s="11" t="s">
        <v>1169</v>
      </c>
      <c r="G395" s="11" t="s">
        <v>1849</v>
      </c>
      <c r="H395" s="11" t="s">
        <v>1109</v>
      </c>
      <c r="I395" s="16" t="s">
        <v>1105</v>
      </c>
    </row>
    <row r="396" customFormat="false" ht="23.85" hidden="false" customHeight="false" outlineLevel="0" collapsed="false">
      <c r="A396" s="11" t="s">
        <v>473</v>
      </c>
      <c r="B396" s="11" t="s">
        <v>474</v>
      </c>
      <c r="C396" s="11" t="s">
        <v>282</v>
      </c>
      <c r="D396" s="14" t="s">
        <v>1850</v>
      </c>
      <c r="E396" s="13" t="n">
        <v>97111</v>
      </c>
      <c r="F396" s="11" t="s">
        <v>1169</v>
      </c>
      <c r="G396" s="11" t="s">
        <v>1851</v>
      </c>
      <c r="H396" s="11" t="s">
        <v>1109</v>
      </c>
      <c r="I396" s="16" t="s">
        <v>1105</v>
      </c>
    </row>
    <row r="397" customFormat="false" ht="23.85" hidden="false" customHeight="false" outlineLevel="0" collapsed="false">
      <c r="A397" s="11" t="s">
        <v>473</v>
      </c>
      <c r="B397" s="11" t="s">
        <v>474</v>
      </c>
      <c r="C397" s="11" t="s">
        <v>142</v>
      </c>
      <c r="D397" s="14" t="s">
        <v>1852</v>
      </c>
      <c r="E397" s="13" t="n">
        <v>36404.1</v>
      </c>
      <c r="F397" s="11" t="s">
        <v>1169</v>
      </c>
      <c r="G397" s="11" t="s">
        <v>1853</v>
      </c>
      <c r="H397" s="11" t="s">
        <v>1104</v>
      </c>
      <c r="I397" s="16" t="s">
        <v>1105</v>
      </c>
    </row>
    <row r="398" customFormat="false" ht="15" hidden="false" customHeight="false" outlineLevel="0" collapsed="false">
      <c r="A398" s="11" t="s">
        <v>478</v>
      </c>
      <c r="B398" s="11" t="s">
        <v>479</v>
      </c>
      <c r="C398" s="11" t="s">
        <v>461</v>
      </c>
      <c r="D398" s="14" t="s">
        <v>481</v>
      </c>
      <c r="E398" s="13" t="n">
        <v>4920</v>
      </c>
      <c r="F398" s="11" t="s">
        <v>1112</v>
      </c>
      <c r="G398" s="11" t="s">
        <v>1854</v>
      </c>
      <c r="H398" s="11" t="s">
        <v>1109</v>
      </c>
      <c r="I398" s="16" t="s">
        <v>1105</v>
      </c>
    </row>
    <row r="399" customFormat="false" ht="23.85" hidden="false" customHeight="false" outlineLevel="0" collapsed="false">
      <c r="A399" s="11" t="s">
        <v>478</v>
      </c>
      <c r="B399" s="11" t="s">
        <v>479</v>
      </c>
      <c r="C399" s="11" t="s">
        <v>824</v>
      </c>
      <c r="D399" s="14" t="s">
        <v>1855</v>
      </c>
      <c r="E399" s="13" t="n">
        <v>10000</v>
      </c>
      <c r="F399" s="11" t="s">
        <v>1112</v>
      </c>
      <c r="G399" s="11" t="s">
        <v>1856</v>
      </c>
      <c r="H399" s="11" t="s">
        <v>1140</v>
      </c>
      <c r="I399" s="16" t="s">
        <v>1105</v>
      </c>
    </row>
    <row r="400" customFormat="false" ht="23.85" hidden="false" customHeight="false" outlineLevel="0" collapsed="false">
      <c r="A400" s="11" t="s">
        <v>482</v>
      </c>
      <c r="B400" s="11" t="s">
        <v>483</v>
      </c>
      <c r="C400" s="11" t="s">
        <v>485</v>
      </c>
      <c r="D400" s="14" t="s">
        <v>486</v>
      </c>
      <c r="E400" s="13" t="n">
        <v>19900</v>
      </c>
      <c r="F400" s="11" t="s">
        <v>1112</v>
      </c>
      <c r="G400" s="11" t="s">
        <v>1370</v>
      </c>
      <c r="H400" s="11" t="s">
        <v>1146</v>
      </c>
      <c r="I400" s="16" t="s">
        <v>1105</v>
      </c>
    </row>
    <row r="401" customFormat="false" ht="23.85" hidden="false" customHeight="false" outlineLevel="0" collapsed="false">
      <c r="A401" s="11" t="s">
        <v>482</v>
      </c>
      <c r="B401" s="11" t="s">
        <v>483</v>
      </c>
      <c r="C401" s="11" t="s">
        <v>1857</v>
      </c>
      <c r="D401" s="14" t="s">
        <v>1858</v>
      </c>
      <c r="E401" s="13" t="n">
        <v>74500</v>
      </c>
      <c r="F401" s="11" t="s">
        <v>1107</v>
      </c>
      <c r="G401" s="11" t="s">
        <v>1859</v>
      </c>
      <c r="H401" s="11" t="s">
        <v>1146</v>
      </c>
      <c r="I401" s="16" t="s">
        <v>1105</v>
      </c>
    </row>
    <row r="402" customFormat="false" ht="15" hidden="false" customHeight="false" outlineLevel="0" collapsed="false">
      <c r="A402" s="11" t="s">
        <v>487</v>
      </c>
      <c r="B402" s="11" t="s">
        <v>488</v>
      </c>
      <c r="C402" s="11" t="s">
        <v>490</v>
      </c>
      <c r="D402" s="14" t="s">
        <v>491</v>
      </c>
      <c r="E402" s="13" t="n">
        <v>5850</v>
      </c>
      <c r="F402" s="11" t="s">
        <v>1112</v>
      </c>
      <c r="G402" s="11" t="s">
        <v>1860</v>
      </c>
      <c r="H402" s="11" t="s">
        <v>1109</v>
      </c>
      <c r="I402" s="16" t="s">
        <v>1105</v>
      </c>
    </row>
    <row r="403" customFormat="false" ht="15" hidden="false" customHeight="false" outlineLevel="0" collapsed="false">
      <c r="A403" s="11" t="s">
        <v>487</v>
      </c>
      <c r="B403" s="11" t="s">
        <v>488</v>
      </c>
      <c r="C403" s="11" t="s">
        <v>795</v>
      </c>
      <c r="D403" s="14" t="s">
        <v>1861</v>
      </c>
      <c r="E403" s="13" t="n">
        <v>2628</v>
      </c>
      <c r="F403" s="11" t="s">
        <v>1112</v>
      </c>
      <c r="G403" s="11" t="s">
        <v>1862</v>
      </c>
      <c r="H403" s="11" t="s">
        <v>1109</v>
      </c>
      <c r="I403" s="16" t="s">
        <v>1105</v>
      </c>
    </row>
    <row r="404" customFormat="false" ht="15" hidden="false" customHeight="false" outlineLevel="0" collapsed="false">
      <c r="A404" s="11" t="s">
        <v>487</v>
      </c>
      <c r="B404" s="11" t="s">
        <v>488</v>
      </c>
      <c r="C404" s="11" t="s">
        <v>958</v>
      </c>
      <c r="D404" s="14" t="s">
        <v>1863</v>
      </c>
      <c r="E404" s="13" t="n">
        <v>1099489.53</v>
      </c>
      <c r="F404" s="11" t="s">
        <v>1102</v>
      </c>
      <c r="G404" s="11" t="s">
        <v>1864</v>
      </c>
      <c r="H404" s="11" t="s">
        <v>1104</v>
      </c>
      <c r="I404" s="16" t="s">
        <v>1105</v>
      </c>
    </row>
    <row r="405" customFormat="false" ht="15" hidden="false" customHeight="false" outlineLevel="0" collapsed="false">
      <c r="A405" s="11" t="s">
        <v>487</v>
      </c>
      <c r="B405" s="11" t="s">
        <v>488</v>
      </c>
      <c r="C405" s="11" t="s">
        <v>958</v>
      </c>
      <c r="D405" s="14" t="s">
        <v>1865</v>
      </c>
      <c r="E405" s="13" t="n">
        <v>938542.99</v>
      </c>
      <c r="F405" s="11" t="s">
        <v>1102</v>
      </c>
      <c r="G405" s="11" t="s">
        <v>1866</v>
      </c>
      <c r="H405" s="11" t="s">
        <v>1109</v>
      </c>
      <c r="I405" s="16" t="s">
        <v>1105</v>
      </c>
    </row>
    <row r="406" customFormat="false" ht="15" hidden="false" customHeight="false" outlineLevel="0" collapsed="false">
      <c r="A406" s="11" t="s">
        <v>492</v>
      </c>
      <c r="B406" s="11" t="s">
        <v>493</v>
      </c>
      <c r="C406" s="11" t="s">
        <v>495</v>
      </c>
      <c r="D406" s="14" t="s">
        <v>496</v>
      </c>
      <c r="E406" s="13" t="n">
        <v>71820</v>
      </c>
      <c r="F406" s="11" t="s">
        <v>1107</v>
      </c>
      <c r="G406" s="11" t="s">
        <v>1867</v>
      </c>
      <c r="H406" s="11" t="s">
        <v>1146</v>
      </c>
      <c r="I406" s="16" t="s">
        <v>1105</v>
      </c>
    </row>
    <row r="407" customFormat="false" ht="23.85" hidden="false" customHeight="false" outlineLevel="0" collapsed="false">
      <c r="A407" s="11" t="s">
        <v>492</v>
      </c>
      <c r="B407" s="11" t="s">
        <v>493</v>
      </c>
      <c r="C407" s="11" t="s">
        <v>1716</v>
      </c>
      <c r="D407" s="14" t="s">
        <v>1868</v>
      </c>
      <c r="E407" s="13" t="n">
        <v>8480</v>
      </c>
      <c r="F407" s="11" t="s">
        <v>1112</v>
      </c>
      <c r="G407" s="11" t="s">
        <v>1869</v>
      </c>
      <c r="H407" s="11" t="s">
        <v>1146</v>
      </c>
      <c r="I407" s="16" t="s">
        <v>1105</v>
      </c>
    </row>
    <row r="408" customFormat="false" ht="23.85" hidden="false" customHeight="false" outlineLevel="0" collapsed="false">
      <c r="A408" s="11" t="s">
        <v>497</v>
      </c>
      <c r="B408" s="11" t="s">
        <v>498</v>
      </c>
      <c r="C408" s="11" t="s">
        <v>500</v>
      </c>
      <c r="D408" s="14" t="s">
        <v>501</v>
      </c>
      <c r="E408" s="13" t="n">
        <v>74750</v>
      </c>
      <c r="F408" s="11" t="s">
        <v>1107</v>
      </c>
      <c r="G408" s="11" t="s">
        <v>1870</v>
      </c>
      <c r="H408" s="11" t="s">
        <v>1109</v>
      </c>
      <c r="I408" s="16" t="s">
        <v>1105</v>
      </c>
    </row>
    <row r="409" customFormat="false" ht="23.85" hidden="false" customHeight="false" outlineLevel="0" collapsed="false">
      <c r="A409" s="11" t="s">
        <v>497</v>
      </c>
      <c r="B409" s="11" t="s">
        <v>498</v>
      </c>
      <c r="C409" s="11" t="s">
        <v>142</v>
      </c>
      <c r="D409" s="14" t="s">
        <v>1871</v>
      </c>
      <c r="E409" s="13" t="n">
        <v>84900</v>
      </c>
      <c r="F409" s="11" t="s">
        <v>1283</v>
      </c>
      <c r="G409" s="11" t="s">
        <v>1872</v>
      </c>
      <c r="H409" s="11" t="s">
        <v>1146</v>
      </c>
      <c r="I409" s="16" t="s">
        <v>1105</v>
      </c>
    </row>
    <row r="410" customFormat="false" ht="23.85" hidden="false" customHeight="false" outlineLevel="0" collapsed="false">
      <c r="A410" s="11" t="s">
        <v>502</v>
      </c>
      <c r="B410" s="11" t="s">
        <v>503</v>
      </c>
      <c r="C410" s="11" t="s">
        <v>505</v>
      </c>
      <c r="D410" s="14" t="s">
        <v>506</v>
      </c>
      <c r="E410" s="13" t="n">
        <v>19713.34</v>
      </c>
      <c r="F410" s="11" t="s">
        <v>1102</v>
      </c>
      <c r="G410" s="11" t="s">
        <v>1873</v>
      </c>
      <c r="H410" s="11" t="s">
        <v>1109</v>
      </c>
      <c r="I410" s="16" t="s">
        <v>1105</v>
      </c>
    </row>
    <row r="411" customFormat="false" ht="23.85" hidden="false" customHeight="false" outlineLevel="0" collapsed="false">
      <c r="A411" s="11" t="s">
        <v>502</v>
      </c>
      <c r="B411" s="11" t="s">
        <v>503</v>
      </c>
      <c r="C411" s="11" t="s">
        <v>1874</v>
      </c>
      <c r="D411" s="14" t="s">
        <v>1875</v>
      </c>
      <c r="E411" s="13" t="n">
        <v>47600</v>
      </c>
      <c r="F411" s="11" t="s">
        <v>1107</v>
      </c>
      <c r="G411" s="11" t="s">
        <v>1876</v>
      </c>
      <c r="H411" s="11" t="s">
        <v>1146</v>
      </c>
      <c r="I411" s="16" t="s">
        <v>1105</v>
      </c>
    </row>
    <row r="412" customFormat="false" ht="23.85" hidden="false" customHeight="false" outlineLevel="0" collapsed="false">
      <c r="A412" s="11" t="s">
        <v>502</v>
      </c>
      <c r="B412" s="11" t="s">
        <v>503</v>
      </c>
      <c r="C412" s="11" t="s">
        <v>1874</v>
      </c>
      <c r="D412" s="14" t="s">
        <v>1877</v>
      </c>
      <c r="E412" s="13" t="n">
        <v>63700</v>
      </c>
      <c r="F412" s="11" t="s">
        <v>1107</v>
      </c>
      <c r="G412" s="11" t="s">
        <v>1878</v>
      </c>
      <c r="H412" s="11" t="s">
        <v>1146</v>
      </c>
      <c r="I412" s="16" t="s">
        <v>1105</v>
      </c>
    </row>
    <row r="413" customFormat="false" ht="23.85" hidden="false" customHeight="false" outlineLevel="0" collapsed="false">
      <c r="A413" s="11" t="s">
        <v>507</v>
      </c>
      <c r="B413" s="11" t="s">
        <v>508</v>
      </c>
      <c r="C413" s="11" t="s">
        <v>510</v>
      </c>
      <c r="D413" s="14" t="s">
        <v>511</v>
      </c>
      <c r="E413" s="13" t="n">
        <v>14098.84</v>
      </c>
      <c r="F413" s="11" t="s">
        <v>1112</v>
      </c>
      <c r="G413" s="11" t="s">
        <v>1879</v>
      </c>
      <c r="H413" s="11" t="s">
        <v>1109</v>
      </c>
      <c r="I413" s="16" t="s">
        <v>1105</v>
      </c>
    </row>
    <row r="414" customFormat="false" ht="23.85" hidden="false" customHeight="false" outlineLevel="0" collapsed="false">
      <c r="A414" s="11" t="s">
        <v>507</v>
      </c>
      <c r="B414" s="11" t="s">
        <v>508</v>
      </c>
      <c r="C414" s="11" t="s">
        <v>1880</v>
      </c>
      <c r="D414" s="14" t="s">
        <v>1881</v>
      </c>
      <c r="E414" s="13" t="n">
        <v>34500</v>
      </c>
      <c r="F414" s="11" t="s">
        <v>1107</v>
      </c>
      <c r="G414" s="11" t="s">
        <v>1882</v>
      </c>
      <c r="H414" s="11" t="s">
        <v>1146</v>
      </c>
      <c r="I414" s="16" t="s">
        <v>1105</v>
      </c>
    </row>
    <row r="415" customFormat="false" ht="15" hidden="false" customHeight="false" outlineLevel="0" collapsed="false">
      <c r="A415" s="11" t="s">
        <v>512</v>
      </c>
      <c r="B415" s="11" t="s">
        <v>513</v>
      </c>
      <c r="C415" s="11" t="s">
        <v>197</v>
      </c>
      <c r="D415" s="14" t="s">
        <v>515</v>
      </c>
      <c r="E415" s="13" t="n">
        <v>2435.86</v>
      </c>
      <c r="F415" s="11" t="s">
        <v>1107</v>
      </c>
      <c r="G415" s="11" t="s">
        <v>1883</v>
      </c>
      <c r="H415" s="11" t="s">
        <v>1109</v>
      </c>
      <c r="I415" s="16" t="s">
        <v>1105</v>
      </c>
    </row>
    <row r="416" customFormat="false" ht="23.85" hidden="false" customHeight="false" outlineLevel="0" collapsed="false">
      <c r="A416" s="11" t="s">
        <v>512</v>
      </c>
      <c r="B416" s="11" t="s">
        <v>513</v>
      </c>
      <c r="C416" s="11" t="s">
        <v>1530</v>
      </c>
      <c r="D416" s="14" t="s">
        <v>1884</v>
      </c>
      <c r="E416" s="13" t="n">
        <v>4429.25</v>
      </c>
      <c r="F416" s="11" t="s">
        <v>1107</v>
      </c>
      <c r="G416" s="11" t="s">
        <v>1885</v>
      </c>
      <c r="H416" s="11" t="s">
        <v>1109</v>
      </c>
      <c r="I416" s="16" t="s">
        <v>1105</v>
      </c>
    </row>
    <row r="417" customFormat="false" ht="15" hidden="false" customHeight="false" outlineLevel="0" collapsed="false">
      <c r="A417" s="11" t="s">
        <v>512</v>
      </c>
      <c r="B417" s="11" t="s">
        <v>513</v>
      </c>
      <c r="C417" s="11" t="s">
        <v>1886</v>
      </c>
      <c r="D417" s="14" t="s">
        <v>1887</v>
      </c>
      <c r="E417" s="13" t="n">
        <v>21560</v>
      </c>
      <c r="F417" s="11" t="s">
        <v>1107</v>
      </c>
      <c r="G417" s="11" t="s">
        <v>1888</v>
      </c>
      <c r="H417" s="11" t="s">
        <v>1109</v>
      </c>
      <c r="I417" s="16" t="s">
        <v>1105</v>
      </c>
    </row>
    <row r="418" customFormat="false" ht="15" hidden="false" customHeight="false" outlineLevel="0" collapsed="false">
      <c r="A418" s="11" t="s">
        <v>516</v>
      </c>
      <c r="B418" s="11" t="s">
        <v>517</v>
      </c>
      <c r="C418" s="11" t="s">
        <v>519</v>
      </c>
      <c r="D418" s="14" t="s">
        <v>339</v>
      </c>
      <c r="E418" s="13" t="n">
        <v>4900.24</v>
      </c>
      <c r="F418" s="11" t="s">
        <v>1107</v>
      </c>
      <c r="G418" s="11" t="s">
        <v>1889</v>
      </c>
      <c r="H418" s="11" t="s">
        <v>1109</v>
      </c>
      <c r="I418" s="16" t="s">
        <v>1105</v>
      </c>
    </row>
    <row r="419" customFormat="false" ht="15" hidden="false" customHeight="false" outlineLevel="0" collapsed="false">
      <c r="A419" s="11" t="s">
        <v>516</v>
      </c>
      <c r="B419" s="11" t="s">
        <v>517</v>
      </c>
      <c r="C419" s="11" t="s">
        <v>540</v>
      </c>
      <c r="D419" s="14" t="s">
        <v>339</v>
      </c>
      <c r="E419" s="13" t="n">
        <v>8616.05</v>
      </c>
      <c r="F419" s="11" t="s">
        <v>1107</v>
      </c>
      <c r="G419" s="11" t="s">
        <v>1889</v>
      </c>
      <c r="H419" s="11" t="s">
        <v>1109</v>
      </c>
      <c r="I419" s="16" t="s">
        <v>1105</v>
      </c>
    </row>
    <row r="420" customFormat="false" ht="15" hidden="false" customHeight="false" outlineLevel="0" collapsed="false">
      <c r="A420" s="11" t="s">
        <v>516</v>
      </c>
      <c r="B420" s="11" t="s">
        <v>517</v>
      </c>
      <c r="C420" s="11" t="s">
        <v>306</v>
      </c>
      <c r="D420" s="14" t="s">
        <v>1890</v>
      </c>
      <c r="E420" s="13" t="n">
        <v>2597</v>
      </c>
      <c r="F420" s="11" t="s">
        <v>1112</v>
      </c>
      <c r="G420" s="11" t="s">
        <v>1889</v>
      </c>
      <c r="H420" s="11" t="s">
        <v>1109</v>
      </c>
      <c r="I420" s="16" t="s">
        <v>1105</v>
      </c>
    </row>
    <row r="421" customFormat="false" ht="15" hidden="false" customHeight="false" outlineLevel="0" collapsed="false">
      <c r="A421" s="11" t="s">
        <v>520</v>
      </c>
      <c r="B421" s="11" t="s">
        <v>521</v>
      </c>
      <c r="C421" s="11" t="s">
        <v>523</v>
      </c>
      <c r="D421" s="14" t="s">
        <v>524</v>
      </c>
      <c r="E421" s="13" t="n">
        <v>758.8</v>
      </c>
      <c r="F421" s="11" t="s">
        <v>1112</v>
      </c>
      <c r="G421" s="11" t="s">
        <v>1740</v>
      </c>
      <c r="H421" s="11" t="s">
        <v>1109</v>
      </c>
      <c r="I421" s="16" t="s">
        <v>1105</v>
      </c>
    </row>
    <row r="422" customFormat="false" ht="15" hidden="false" customHeight="false" outlineLevel="0" collapsed="false">
      <c r="A422" s="11" t="s">
        <v>520</v>
      </c>
      <c r="B422" s="11" t="s">
        <v>521</v>
      </c>
      <c r="C422" s="11" t="s">
        <v>1535</v>
      </c>
      <c r="D422" s="14" t="s">
        <v>1891</v>
      </c>
      <c r="E422" s="13" t="n">
        <v>6974.8</v>
      </c>
      <c r="F422" s="11" t="s">
        <v>1107</v>
      </c>
      <c r="G422" s="11" t="s">
        <v>1740</v>
      </c>
      <c r="H422" s="11" t="s">
        <v>1109</v>
      </c>
      <c r="I422" s="16" t="s">
        <v>1105</v>
      </c>
    </row>
    <row r="423" customFormat="false" ht="15" hidden="false" customHeight="false" outlineLevel="0" collapsed="false">
      <c r="A423" s="11" t="s">
        <v>520</v>
      </c>
      <c r="B423" s="11" t="s">
        <v>521</v>
      </c>
      <c r="C423" s="11" t="s">
        <v>1535</v>
      </c>
      <c r="D423" s="14" t="s">
        <v>1891</v>
      </c>
      <c r="E423" s="13" t="n">
        <v>1154.65</v>
      </c>
      <c r="F423" s="11" t="s">
        <v>1107</v>
      </c>
      <c r="G423" s="11" t="s">
        <v>1892</v>
      </c>
      <c r="H423" s="11" t="s">
        <v>1109</v>
      </c>
      <c r="I423" s="16" t="s">
        <v>1105</v>
      </c>
    </row>
    <row r="424" customFormat="false" ht="15" hidden="false" customHeight="false" outlineLevel="0" collapsed="false">
      <c r="A424" s="11" t="s">
        <v>525</v>
      </c>
      <c r="B424" s="11" t="s">
        <v>526</v>
      </c>
      <c r="C424" s="11" t="s">
        <v>202</v>
      </c>
      <c r="D424" s="14" t="s">
        <v>528</v>
      </c>
      <c r="E424" s="13" t="n">
        <v>100042.1</v>
      </c>
      <c r="F424" s="11" t="s">
        <v>1102</v>
      </c>
      <c r="G424" s="11" t="s">
        <v>1208</v>
      </c>
      <c r="H424" s="11" t="s">
        <v>1109</v>
      </c>
      <c r="I424" s="16" t="s">
        <v>1105</v>
      </c>
    </row>
    <row r="425" customFormat="false" ht="23.85" hidden="false" customHeight="false" outlineLevel="0" collapsed="false">
      <c r="A425" s="11" t="s">
        <v>525</v>
      </c>
      <c r="B425" s="11" t="s">
        <v>526</v>
      </c>
      <c r="C425" s="11" t="s">
        <v>824</v>
      </c>
      <c r="D425" s="14" t="s">
        <v>1893</v>
      </c>
      <c r="E425" s="13" t="n">
        <v>26632.82</v>
      </c>
      <c r="F425" s="11" t="s">
        <v>1107</v>
      </c>
      <c r="G425" s="11" t="s">
        <v>1822</v>
      </c>
      <c r="H425" s="11" t="s">
        <v>1109</v>
      </c>
      <c r="I425" s="16" t="s">
        <v>1105</v>
      </c>
    </row>
    <row r="426" customFormat="false" ht="15" hidden="false" customHeight="false" outlineLevel="0" collapsed="false">
      <c r="A426" s="11" t="s">
        <v>525</v>
      </c>
      <c r="B426" s="11" t="s">
        <v>526</v>
      </c>
      <c r="C426" s="11" t="s">
        <v>1894</v>
      </c>
      <c r="D426" s="14" t="s">
        <v>1895</v>
      </c>
      <c r="E426" s="13" t="n">
        <v>37650</v>
      </c>
      <c r="F426" s="11" t="s">
        <v>1107</v>
      </c>
      <c r="G426" s="11" t="s">
        <v>1896</v>
      </c>
      <c r="H426" s="11" t="s">
        <v>1146</v>
      </c>
      <c r="I426" s="16" t="s">
        <v>1105</v>
      </c>
    </row>
    <row r="427" customFormat="false" ht="15" hidden="false" customHeight="false" outlineLevel="0" collapsed="false">
      <c r="A427" s="11" t="s">
        <v>529</v>
      </c>
      <c r="B427" s="11" t="s">
        <v>530</v>
      </c>
      <c r="C427" s="11" t="s">
        <v>532</v>
      </c>
      <c r="D427" s="14" t="s">
        <v>528</v>
      </c>
      <c r="E427" s="13" t="n">
        <v>158633.1</v>
      </c>
      <c r="F427" s="11" t="s">
        <v>1102</v>
      </c>
      <c r="G427" s="11" t="s">
        <v>1897</v>
      </c>
      <c r="H427" s="11" t="s">
        <v>1109</v>
      </c>
      <c r="I427" s="16" t="s">
        <v>1105</v>
      </c>
    </row>
    <row r="428" customFormat="false" ht="15" hidden="false" customHeight="false" outlineLevel="0" collapsed="false">
      <c r="A428" s="11" t="s">
        <v>529</v>
      </c>
      <c r="B428" s="11" t="s">
        <v>530</v>
      </c>
      <c r="C428" s="11" t="s">
        <v>532</v>
      </c>
      <c r="D428" s="14" t="s">
        <v>528</v>
      </c>
      <c r="E428" s="13" t="n">
        <v>75205.72</v>
      </c>
      <c r="F428" s="11" t="s">
        <v>1102</v>
      </c>
      <c r="G428" s="11" t="s">
        <v>1897</v>
      </c>
      <c r="H428" s="11" t="s">
        <v>1109</v>
      </c>
      <c r="I428" s="16" t="s">
        <v>1105</v>
      </c>
    </row>
    <row r="429" customFormat="false" ht="15" hidden="false" customHeight="false" outlineLevel="0" collapsed="false">
      <c r="A429" s="11" t="s">
        <v>529</v>
      </c>
      <c r="B429" s="11" t="s">
        <v>530</v>
      </c>
      <c r="C429" s="11" t="s">
        <v>1898</v>
      </c>
      <c r="D429" s="14" t="s">
        <v>1899</v>
      </c>
      <c r="E429" s="13" t="n">
        <v>11537.55</v>
      </c>
      <c r="F429" s="11" t="s">
        <v>1112</v>
      </c>
      <c r="G429" s="11" t="s">
        <v>1900</v>
      </c>
      <c r="H429" s="11" t="s">
        <v>1109</v>
      </c>
      <c r="I429" s="16" t="s">
        <v>1105</v>
      </c>
    </row>
    <row r="430" customFormat="false" ht="15" hidden="false" customHeight="false" outlineLevel="0" collapsed="false">
      <c r="A430" s="11" t="s">
        <v>529</v>
      </c>
      <c r="B430" s="11" t="s">
        <v>530</v>
      </c>
      <c r="C430" s="11" t="s">
        <v>1901</v>
      </c>
      <c r="D430" s="14" t="s">
        <v>1895</v>
      </c>
      <c r="E430" s="13" t="n">
        <v>37650</v>
      </c>
      <c r="F430" s="11" t="s">
        <v>1107</v>
      </c>
      <c r="G430" s="11" t="s">
        <v>1896</v>
      </c>
      <c r="H430" s="11" t="s">
        <v>1146</v>
      </c>
      <c r="I430" s="16" t="s">
        <v>1105</v>
      </c>
    </row>
    <row r="431" customFormat="false" ht="23.85" hidden="false" customHeight="false" outlineLevel="0" collapsed="false">
      <c r="A431" s="11" t="s">
        <v>533</v>
      </c>
      <c r="B431" s="11" t="s">
        <v>534</v>
      </c>
      <c r="C431" s="11" t="s">
        <v>438</v>
      </c>
      <c r="D431" s="14" t="s">
        <v>536</v>
      </c>
      <c r="E431" s="13" t="n">
        <v>6861.3</v>
      </c>
      <c r="F431" s="11" t="s">
        <v>1112</v>
      </c>
      <c r="G431" s="11" t="s">
        <v>1902</v>
      </c>
      <c r="H431" s="11" t="s">
        <v>1126</v>
      </c>
      <c r="I431" s="16" t="s">
        <v>1105</v>
      </c>
    </row>
    <row r="432" customFormat="false" ht="15" hidden="false" customHeight="false" outlineLevel="0" collapsed="false">
      <c r="A432" s="11" t="s">
        <v>537</v>
      </c>
      <c r="B432" s="11" t="s">
        <v>538</v>
      </c>
      <c r="C432" s="11" t="s">
        <v>540</v>
      </c>
      <c r="D432" s="14" t="s">
        <v>541</v>
      </c>
      <c r="E432" s="13" t="n">
        <v>10415</v>
      </c>
      <c r="F432" s="11" t="s">
        <v>1107</v>
      </c>
      <c r="G432" s="11" t="s">
        <v>1889</v>
      </c>
      <c r="H432" s="11" t="s">
        <v>1109</v>
      </c>
      <c r="I432" s="16" t="s">
        <v>1105</v>
      </c>
    </row>
    <row r="433" customFormat="false" ht="23.85" hidden="false" customHeight="false" outlineLevel="0" collapsed="false">
      <c r="A433" s="11" t="s">
        <v>537</v>
      </c>
      <c r="B433" s="11" t="s">
        <v>538</v>
      </c>
      <c r="C433" s="11" t="s">
        <v>1624</v>
      </c>
      <c r="D433" s="14" t="s">
        <v>1903</v>
      </c>
      <c r="E433" s="13" t="n">
        <v>35510.6</v>
      </c>
      <c r="F433" s="11" t="s">
        <v>1107</v>
      </c>
      <c r="G433" s="11" t="s">
        <v>1741</v>
      </c>
      <c r="H433" s="11" t="s">
        <v>1109</v>
      </c>
      <c r="I433" s="16" t="s">
        <v>1105</v>
      </c>
    </row>
    <row r="434" customFormat="false" ht="15" hidden="false" customHeight="false" outlineLevel="0" collapsed="false">
      <c r="A434" s="11" t="s">
        <v>537</v>
      </c>
      <c r="B434" s="11" t="s">
        <v>538</v>
      </c>
      <c r="C434" s="11" t="s">
        <v>1089</v>
      </c>
      <c r="D434" s="14" t="s">
        <v>1904</v>
      </c>
      <c r="E434" s="13" t="n">
        <v>13851</v>
      </c>
      <c r="F434" s="11" t="s">
        <v>1107</v>
      </c>
      <c r="G434" s="11" t="s">
        <v>1488</v>
      </c>
      <c r="H434" s="11" t="s">
        <v>1109</v>
      </c>
      <c r="I434" s="16" t="s">
        <v>1105</v>
      </c>
    </row>
    <row r="435" customFormat="false" ht="15" hidden="false" customHeight="false" outlineLevel="0" collapsed="false">
      <c r="A435" s="11" t="s">
        <v>542</v>
      </c>
      <c r="B435" s="11" t="s">
        <v>543</v>
      </c>
      <c r="C435" s="11" t="s">
        <v>545</v>
      </c>
      <c r="D435" s="14" t="s">
        <v>546</v>
      </c>
      <c r="E435" s="13" t="n">
        <v>9334</v>
      </c>
      <c r="F435" s="11" t="s">
        <v>1112</v>
      </c>
      <c r="G435" s="11" t="s">
        <v>1905</v>
      </c>
      <c r="H435" s="11" t="s">
        <v>1109</v>
      </c>
      <c r="I435" s="16" t="s">
        <v>1105</v>
      </c>
    </row>
    <row r="436" customFormat="false" ht="23.85" hidden="false" customHeight="false" outlineLevel="0" collapsed="false">
      <c r="A436" s="11" t="s">
        <v>542</v>
      </c>
      <c r="B436" s="11" t="s">
        <v>543</v>
      </c>
      <c r="C436" s="11" t="s">
        <v>1906</v>
      </c>
      <c r="D436" s="14" t="s">
        <v>1907</v>
      </c>
      <c r="E436" s="13" t="n">
        <v>4800</v>
      </c>
      <c r="F436" s="11" t="s">
        <v>1112</v>
      </c>
      <c r="G436" s="11" t="s">
        <v>1908</v>
      </c>
      <c r="H436" s="11" t="s">
        <v>1109</v>
      </c>
      <c r="I436" s="16" t="s">
        <v>1105</v>
      </c>
    </row>
    <row r="437" customFormat="false" ht="15" hidden="false" customHeight="false" outlineLevel="0" collapsed="false">
      <c r="A437" s="11" t="s">
        <v>542</v>
      </c>
      <c r="B437" s="11" t="s">
        <v>543</v>
      </c>
      <c r="C437" s="11" t="s">
        <v>1906</v>
      </c>
      <c r="D437" s="14" t="s">
        <v>1909</v>
      </c>
      <c r="E437" s="13" t="n">
        <v>15600</v>
      </c>
      <c r="F437" s="11" t="s">
        <v>1112</v>
      </c>
      <c r="G437" s="11" t="s">
        <v>1908</v>
      </c>
      <c r="H437" s="11" t="s">
        <v>1109</v>
      </c>
      <c r="I437" s="16" t="s">
        <v>1105</v>
      </c>
    </row>
    <row r="438" customFormat="false" ht="23.85" hidden="false" customHeight="false" outlineLevel="0" collapsed="false">
      <c r="A438" s="11" t="s">
        <v>547</v>
      </c>
      <c r="B438" s="11" t="s">
        <v>548</v>
      </c>
      <c r="C438" s="11" t="s">
        <v>550</v>
      </c>
      <c r="D438" s="14" t="s">
        <v>551</v>
      </c>
      <c r="E438" s="13" t="n">
        <v>4708.6</v>
      </c>
      <c r="F438" s="11" t="s">
        <v>1107</v>
      </c>
      <c r="G438" s="11" t="s">
        <v>1823</v>
      </c>
      <c r="H438" s="11" t="s">
        <v>1109</v>
      </c>
      <c r="I438" s="16" t="s">
        <v>1105</v>
      </c>
    </row>
    <row r="439" customFormat="false" ht="23.85" hidden="false" customHeight="false" outlineLevel="0" collapsed="false">
      <c r="A439" s="11" t="s">
        <v>547</v>
      </c>
      <c r="B439" s="11" t="s">
        <v>548</v>
      </c>
      <c r="C439" s="11" t="s">
        <v>550</v>
      </c>
      <c r="D439" s="14" t="s">
        <v>551</v>
      </c>
      <c r="E439" s="13" t="n">
        <v>2254.34</v>
      </c>
      <c r="F439" s="11" t="s">
        <v>1107</v>
      </c>
      <c r="G439" s="11" t="s">
        <v>1910</v>
      </c>
      <c r="H439" s="11" t="s">
        <v>1109</v>
      </c>
      <c r="I439" s="16" t="s">
        <v>1105</v>
      </c>
    </row>
    <row r="440" customFormat="false" ht="15" hidden="false" customHeight="false" outlineLevel="0" collapsed="false">
      <c r="A440" s="11" t="s">
        <v>547</v>
      </c>
      <c r="B440" s="11" t="s">
        <v>548</v>
      </c>
      <c r="C440" s="11" t="s">
        <v>1911</v>
      </c>
      <c r="D440" s="14" t="s">
        <v>1912</v>
      </c>
      <c r="E440" s="13" t="n">
        <v>26855.83</v>
      </c>
      <c r="F440" s="11" t="s">
        <v>1107</v>
      </c>
      <c r="G440" s="11" t="s">
        <v>1741</v>
      </c>
      <c r="H440" s="11" t="s">
        <v>1109</v>
      </c>
      <c r="I440" s="16" t="s">
        <v>1105</v>
      </c>
    </row>
    <row r="441" customFormat="false" ht="23.85" hidden="false" customHeight="false" outlineLevel="0" collapsed="false">
      <c r="A441" s="11" t="s">
        <v>552</v>
      </c>
      <c r="B441" s="11" t="s">
        <v>553</v>
      </c>
      <c r="C441" s="11" t="s">
        <v>555</v>
      </c>
      <c r="D441" s="14" t="s">
        <v>556</v>
      </c>
      <c r="E441" s="13" t="n">
        <v>20219.12</v>
      </c>
      <c r="F441" s="11" t="s">
        <v>1107</v>
      </c>
      <c r="G441" s="11" t="s">
        <v>1913</v>
      </c>
      <c r="H441" s="11" t="s">
        <v>1126</v>
      </c>
      <c r="I441" s="16" t="s">
        <v>1105</v>
      </c>
    </row>
    <row r="442" customFormat="false" ht="15" hidden="false" customHeight="false" outlineLevel="0" collapsed="false">
      <c r="A442" s="11" t="s">
        <v>557</v>
      </c>
      <c r="B442" s="11" t="s">
        <v>558</v>
      </c>
      <c r="C442" s="11" t="s">
        <v>448</v>
      </c>
      <c r="D442" s="14" t="s">
        <v>560</v>
      </c>
      <c r="E442" s="13" t="n">
        <v>5280</v>
      </c>
      <c r="F442" s="11" t="s">
        <v>1107</v>
      </c>
      <c r="G442" s="11" t="s">
        <v>1914</v>
      </c>
      <c r="H442" s="11" t="s">
        <v>1126</v>
      </c>
      <c r="I442" s="16" t="s">
        <v>1105</v>
      </c>
    </row>
    <row r="443" customFormat="false" ht="23.85" hidden="false" customHeight="false" outlineLevel="0" collapsed="false">
      <c r="A443" s="11" t="s">
        <v>561</v>
      </c>
      <c r="B443" s="11" t="s">
        <v>562</v>
      </c>
      <c r="C443" s="11" t="s">
        <v>80</v>
      </c>
      <c r="D443" s="14" t="s">
        <v>564</v>
      </c>
      <c r="E443" s="13" t="n">
        <v>6504</v>
      </c>
      <c r="F443" s="11" t="s">
        <v>1107</v>
      </c>
      <c r="G443" s="11" t="s">
        <v>1231</v>
      </c>
      <c r="H443" s="11" t="s">
        <v>1109</v>
      </c>
      <c r="I443" s="16" t="s">
        <v>1105</v>
      </c>
    </row>
    <row r="444" customFormat="false" ht="15" hidden="false" customHeight="false" outlineLevel="0" collapsed="false">
      <c r="A444" s="11" t="s">
        <v>561</v>
      </c>
      <c r="B444" s="11" t="s">
        <v>562</v>
      </c>
      <c r="C444" s="11" t="s">
        <v>1640</v>
      </c>
      <c r="D444" s="14" t="s">
        <v>1915</v>
      </c>
      <c r="E444" s="13" t="n">
        <v>4861</v>
      </c>
      <c r="F444" s="11" t="s">
        <v>1107</v>
      </c>
      <c r="G444" s="11" t="s">
        <v>1916</v>
      </c>
      <c r="H444" s="11" t="s">
        <v>1109</v>
      </c>
      <c r="I444" s="16" t="s">
        <v>1105</v>
      </c>
    </row>
    <row r="445" customFormat="false" ht="23.85" hidden="false" customHeight="false" outlineLevel="0" collapsed="false">
      <c r="A445" s="11" t="s">
        <v>565</v>
      </c>
      <c r="B445" s="11" t="s">
        <v>566</v>
      </c>
      <c r="C445" s="11" t="s">
        <v>568</v>
      </c>
      <c r="D445" s="14" t="s">
        <v>569</v>
      </c>
      <c r="E445" s="13" t="n">
        <v>28899</v>
      </c>
      <c r="F445" s="11" t="s">
        <v>1107</v>
      </c>
      <c r="G445" s="11" t="s">
        <v>1917</v>
      </c>
      <c r="H445" s="11" t="s">
        <v>1109</v>
      </c>
      <c r="I445" s="16" t="s">
        <v>1105</v>
      </c>
    </row>
    <row r="446" customFormat="false" ht="15" hidden="false" customHeight="false" outlineLevel="0" collapsed="false">
      <c r="A446" s="11" t="s">
        <v>565</v>
      </c>
      <c r="B446" s="11" t="s">
        <v>566</v>
      </c>
      <c r="C446" s="11" t="s">
        <v>1327</v>
      </c>
      <c r="D446" s="14" t="s">
        <v>1918</v>
      </c>
      <c r="E446" s="13" t="n">
        <v>13662.2</v>
      </c>
      <c r="F446" s="11" t="s">
        <v>1112</v>
      </c>
      <c r="G446" s="11" t="s">
        <v>1919</v>
      </c>
      <c r="H446" s="11" t="s">
        <v>1109</v>
      </c>
      <c r="I446" s="16" t="s">
        <v>1105</v>
      </c>
    </row>
    <row r="447" customFormat="false" ht="15" hidden="false" customHeight="false" outlineLevel="0" collapsed="false">
      <c r="A447" s="11" t="s">
        <v>570</v>
      </c>
      <c r="B447" s="11" t="s">
        <v>571</v>
      </c>
      <c r="C447" s="11" t="s">
        <v>122</v>
      </c>
      <c r="D447" s="14" t="s">
        <v>573</v>
      </c>
      <c r="E447" s="13" t="n">
        <v>889.94</v>
      </c>
      <c r="F447" s="11" t="s">
        <v>1112</v>
      </c>
      <c r="G447" s="11" t="s">
        <v>1920</v>
      </c>
      <c r="H447" s="11" t="s">
        <v>1109</v>
      </c>
      <c r="I447" s="16" t="s">
        <v>1105</v>
      </c>
    </row>
    <row r="448" customFormat="false" ht="15" hidden="false" customHeight="false" outlineLevel="0" collapsed="false">
      <c r="A448" s="11" t="s">
        <v>570</v>
      </c>
      <c r="B448" s="11" t="s">
        <v>571</v>
      </c>
      <c r="C448" s="11" t="s">
        <v>1921</v>
      </c>
      <c r="D448" s="14" t="s">
        <v>1922</v>
      </c>
      <c r="E448" s="13" t="n">
        <v>838</v>
      </c>
      <c r="F448" s="11" t="s">
        <v>1112</v>
      </c>
      <c r="G448" s="11" t="s">
        <v>1923</v>
      </c>
      <c r="H448" s="11" t="s">
        <v>1109</v>
      </c>
      <c r="I448" s="16" t="s">
        <v>1105</v>
      </c>
    </row>
    <row r="449" customFormat="false" ht="23.85" hidden="false" customHeight="false" outlineLevel="0" collapsed="false">
      <c r="A449" s="11" t="s">
        <v>574</v>
      </c>
      <c r="B449" s="11" t="s">
        <v>575</v>
      </c>
      <c r="C449" s="11" t="s">
        <v>122</v>
      </c>
      <c r="D449" s="14" t="s">
        <v>577</v>
      </c>
      <c r="E449" s="13" t="n">
        <v>46640</v>
      </c>
      <c r="F449" s="11" t="s">
        <v>1107</v>
      </c>
      <c r="G449" s="11" t="s">
        <v>1924</v>
      </c>
      <c r="H449" s="11" t="s">
        <v>1109</v>
      </c>
      <c r="I449" s="16" t="s">
        <v>1105</v>
      </c>
    </row>
    <row r="450" customFormat="false" ht="23.85" hidden="false" customHeight="false" outlineLevel="0" collapsed="false">
      <c r="A450" s="11" t="s">
        <v>574</v>
      </c>
      <c r="B450" s="11" t="s">
        <v>575</v>
      </c>
      <c r="C450" s="11" t="s">
        <v>282</v>
      </c>
      <c r="D450" s="14" t="s">
        <v>1925</v>
      </c>
      <c r="E450" s="13" t="n">
        <v>71759.9</v>
      </c>
      <c r="F450" s="11" t="s">
        <v>1107</v>
      </c>
      <c r="G450" s="11" t="s">
        <v>1926</v>
      </c>
      <c r="H450" s="11" t="s">
        <v>1109</v>
      </c>
      <c r="I450" s="16" t="s">
        <v>1105</v>
      </c>
    </row>
    <row r="451" customFormat="false" ht="23.85" hidden="false" customHeight="false" outlineLevel="0" collapsed="false">
      <c r="A451" s="11" t="s">
        <v>578</v>
      </c>
      <c r="B451" s="11" t="s">
        <v>579</v>
      </c>
      <c r="C451" s="11" t="s">
        <v>581</v>
      </c>
      <c r="D451" s="14" t="s">
        <v>582</v>
      </c>
      <c r="E451" s="13" t="n">
        <v>11686.14</v>
      </c>
      <c r="F451" s="11" t="s">
        <v>1112</v>
      </c>
      <c r="G451" s="11" t="s">
        <v>1927</v>
      </c>
      <c r="H451" s="11" t="s">
        <v>1109</v>
      </c>
      <c r="I451" s="16" t="s">
        <v>1105</v>
      </c>
    </row>
    <row r="452" customFormat="false" ht="23.85" hidden="false" customHeight="false" outlineLevel="0" collapsed="false">
      <c r="A452" s="11" t="s">
        <v>578</v>
      </c>
      <c r="B452" s="11" t="s">
        <v>579</v>
      </c>
      <c r="C452" s="11" t="s">
        <v>844</v>
      </c>
      <c r="D452" s="14" t="s">
        <v>1928</v>
      </c>
      <c r="E452" s="13" t="n">
        <v>65451.44</v>
      </c>
      <c r="F452" s="11" t="s">
        <v>1107</v>
      </c>
      <c r="G452" s="11" t="s">
        <v>1929</v>
      </c>
      <c r="H452" s="11" t="s">
        <v>1109</v>
      </c>
      <c r="I452" s="16" t="s">
        <v>1105</v>
      </c>
    </row>
    <row r="453" customFormat="false" ht="35.05" hidden="false" customHeight="false" outlineLevel="0" collapsed="false">
      <c r="A453" s="11" t="s">
        <v>583</v>
      </c>
      <c r="B453" s="11" t="s">
        <v>584</v>
      </c>
      <c r="C453" s="11" t="s">
        <v>586</v>
      </c>
      <c r="D453" s="14" t="s">
        <v>587</v>
      </c>
      <c r="E453" s="13" t="n">
        <v>3990</v>
      </c>
      <c r="F453" s="11" t="s">
        <v>1112</v>
      </c>
      <c r="G453" s="11" t="s">
        <v>1862</v>
      </c>
      <c r="H453" s="11" t="s">
        <v>1109</v>
      </c>
      <c r="I453" s="16" t="s">
        <v>1105</v>
      </c>
    </row>
    <row r="454" customFormat="false" ht="23.85" hidden="false" customHeight="false" outlineLevel="0" collapsed="false">
      <c r="A454" s="11" t="s">
        <v>583</v>
      </c>
      <c r="B454" s="11" t="s">
        <v>584</v>
      </c>
      <c r="C454" s="11" t="s">
        <v>1930</v>
      </c>
      <c r="D454" s="14" t="s">
        <v>1931</v>
      </c>
      <c r="E454" s="13" t="n">
        <v>4248</v>
      </c>
      <c r="F454" s="11" t="s">
        <v>1112</v>
      </c>
      <c r="G454" s="11" t="s">
        <v>1932</v>
      </c>
      <c r="H454" s="11" t="s">
        <v>1109</v>
      </c>
      <c r="I454" s="16" t="s">
        <v>1105</v>
      </c>
    </row>
    <row r="455" customFormat="false" ht="15" hidden="false" customHeight="false" outlineLevel="0" collapsed="false">
      <c r="A455" s="11" t="s">
        <v>588</v>
      </c>
      <c r="B455" s="11" t="s">
        <v>589</v>
      </c>
      <c r="C455" s="11" t="s">
        <v>591</v>
      </c>
      <c r="D455" s="14" t="s">
        <v>592</v>
      </c>
      <c r="E455" s="13" t="n">
        <v>9450</v>
      </c>
      <c r="F455" s="11" t="s">
        <v>1112</v>
      </c>
      <c r="G455" s="11" t="s">
        <v>1933</v>
      </c>
      <c r="H455" s="11" t="s">
        <v>1109</v>
      </c>
      <c r="I455" s="16" t="s">
        <v>1105</v>
      </c>
    </row>
    <row r="456" customFormat="false" ht="15" hidden="false" customHeight="false" outlineLevel="0" collapsed="false">
      <c r="A456" s="11" t="s">
        <v>588</v>
      </c>
      <c r="B456" s="11" t="s">
        <v>589</v>
      </c>
      <c r="C456" s="11" t="s">
        <v>1934</v>
      </c>
      <c r="D456" s="14" t="s">
        <v>1935</v>
      </c>
      <c r="E456" s="13" t="n">
        <v>6382.7</v>
      </c>
      <c r="F456" s="11" t="s">
        <v>1112</v>
      </c>
      <c r="G456" s="11" t="s">
        <v>1483</v>
      </c>
      <c r="H456" s="11" t="s">
        <v>1109</v>
      </c>
      <c r="I456" s="16" t="s">
        <v>1105</v>
      </c>
    </row>
    <row r="457" customFormat="false" ht="23.85" hidden="false" customHeight="false" outlineLevel="0" collapsed="false">
      <c r="A457" s="11" t="s">
        <v>588</v>
      </c>
      <c r="B457" s="11" t="s">
        <v>589</v>
      </c>
      <c r="C457" s="11" t="s">
        <v>1936</v>
      </c>
      <c r="D457" s="14" t="s">
        <v>1937</v>
      </c>
      <c r="E457" s="13" t="n">
        <v>1246457.27</v>
      </c>
      <c r="F457" s="11" t="s">
        <v>1102</v>
      </c>
      <c r="G457" s="11" t="s">
        <v>1136</v>
      </c>
      <c r="H457" s="11" t="s">
        <v>1109</v>
      </c>
      <c r="I457" s="16" t="s">
        <v>1105</v>
      </c>
    </row>
    <row r="458" customFormat="false" ht="23.85" hidden="false" customHeight="false" outlineLevel="0" collapsed="false">
      <c r="A458" s="11" t="s">
        <v>588</v>
      </c>
      <c r="B458" s="11" t="s">
        <v>589</v>
      </c>
      <c r="C458" s="11" t="s">
        <v>1547</v>
      </c>
      <c r="D458" s="14" t="s">
        <v>1937</v>
      </c>
      <c r="E458" s="13" t="n">
        <v>726584.2</v>
      </c>
      <c r="F458" s="11" t="s">
        <v>1102</v>
      </c>
      <c r="G458" s="11" t="s">
        <v>1136</v>
      </c>
      <c r="H458" s="11" t="s">
        <v>1109</v>
      </c>
      <c r="I458" s="16" t="s">
        <v>1105</v>
      </c>
    </row>
    <row r="459" customFormat="false" ht="23.85" hidden="false" customHeight="false" outlineLevel="0" collapsed="false">
      <c r="A459" s="11" t="s">
        <v>593</v>
      </c>
      <c r="B459" s="11" t="s">
        <v>594</v>
      </c>
      <c r="C459" s="11" t="s">
        <v>596</v>
      </c>
      <c r="D459" s="14" t="s">
        <v>597</v>
      </c>
      <c r="E459" s="13" t="n">
        <v>1299.8</v>
      </c>
      <c r="F459" s="11" t="s">
        <v>1112</v>
      </c>
      <c r="G459" s="11" t="s">
        <v>1938</v>
      </c>
      <c r="H459" s="11" t="s">
        <v>1109</v>
      </c>
      <c r="I459" s="16" t="s">
        <v>1105</v>
      </c>
    </row>
    <row r="460" customFormat="false" ht="15" hidden="false" customHeight="false" outlineLevel="0" collapsed="false">
      <c r="A460" s="11" t="s">
        <v>593</v>
      </c>
      <c r="B460" s="11" t="s">
        <v>594</v>
      </c>
      <c r="C460" s="11" t="s">
        <v>596</v>
      </c>
      <c r="D460" s="14" t="s">
        <v>1939</v>
      </c>
      <c r="E460" s="13" t="n">
        <v>17957</v>
      </c>
      <c r="F460" s="11" t="s">
        <v>1112</v>
      </c>
      <c r="G460" s="11" t="s">
        <v>1940</v>
      </c>
      <c r="H460" s="11" t="s">
        <v>1109</v>
      </c>
      <c r="I460" s="16" t="s">
        <v>1105</v>
      </c>
    </row>
    <row r="461" customFormat="false" ht="23.85" hidden="false" customHeight="false" outlineLevel="0" collapsed="false">
      <c r="A461" s="11" t="s">
        <v>598</v>
      </c>
      <c r="B461" s="11" t="s">
        <v>599</v>
      </c>
      <c r="C461" s="11" t="s">
        <v>601</v>
      </c>
      <c r="D461" s="14" t="s">
        <v>602</v>
      </c>
      <c r="E461" s="13" t="n">
        <v>104900</v>
      </c>
      <c r="F461" s="11" t="s">
        <v>1283</v>
      </c>
      <c r="G461" s="11" t="s">
        <v>1731</v>
      </c>
      <c r="H461" s="11" t="s">
        <v>1146</v>
      </c>
      <c r="I461" s="16" t="s">
        <v>1105</v>
      </c>
    </row>
    <row r="462" customFormat="false" ht="23.85" hidden="false" customHeight="false" outlineLevel="0" collapsed="false">
      <c r="A462" s="11" t="s">
        <v>598</v>
      </c>
      <c r="B462" s="11" t="s">
        <v>599</v>
      </c>
      <c r="C462" s="11" t="s">
        <v>601</v>
      </c>
      <c r="D462" s="14" t="s">
        <v>602</v>
      </c>
      <c r="E462" s="13" t="n">
        <v>139900</v>
      </c>
      <c r="F462" s="11" t="s">
        <v>1283</v>
      </c>
      <c r="G462" s="11" t="s">
        <v>1731</v>
      </c>
      <c r="H462" s="11" t="s">
        <v>1146</v>
      </c>
      <c r="I462" s="16" t="s">
        <v>1105</v>
      </c>
    </row>
    <row r="463" customFormat="false" ht="23.85" hidden="false" customHeight="false" outlineLevel="0" collapsed="false">
      <c r="A463" s="11" t="s">
        <v>603</v>
      </c>
      <c r="B463" s="11" t="s">
        <v>604</v>
      </c>
      <c r="C463" s="11" t="s">
        <v>606</v>
      </c>
      <c r="D463" s="14" t="s">
        <v>607</v>
      </c>
      <c r="E463" s="13" t="n">
        <v>47000</v>
      </c>
      <c r="F463" s="11" t="s">
        <v>1107</v>
      </c>
      <c r="G463" s="11" t="s">
        <v>1941</v>
      </c>
      <c r="H463" s="11" t="s">
        <v>1146</v>
      </c>
      <c r="I463" s="16" t="s">
        <v>1105</v>
      </c>
    </row>
    <row r="464" customFormat="false" ht="23.85" hidden="false" customHeight="false" outlineLevel="0" collapsed="false">
      <c r="A464" s="11" t="s">
        <v>603</v>
      </c>
      <c r="B464" s="11" t="s">
        <v>604</v>
      </c>
      <c r="C464" s="11" t="s">
        <v>1942</v>
      </c>
      <c r="D464" s="14" t="s">
        <v>1943</v>
      </c>
      <c r="E464" s="13" t="n">
        <v>6200</v>
      </c>
      <c r="F464" s="11" t="s">
        <v>1112</v>
      </c>
      <c r="G464" s="11" t="s">
        <v>1941</v>
      </c>
      <c r="H464" s="11" t="s">
        <v>1146</v>
      </c>
      <c r="I464" s="16" t="s">
        <v>1105</v>
      </c>
    </row>
    <row r="465" customFormat="false" ht="23.85" hidden="false" customHeight="false" outlineLevel="0" collapsed="false">
      <c r="A465" s="11" t="s">
        <v>608</v>
      </c>
      <c r="B465" s="11" t="s">
        <v>609</v>
      </c>
      <c r="C465" s="11" t="s">
        <v>611</v>
      </c>
      <c r="D465" s="14" t="s">
        <v>612</v>
      </c>
      <c r="E465" s="13" t="n">
        <v>49192.19</v>
      </c>
      <c r="F465" s="11" t="s">
        <v>1107</v>
      </c>
      <c r="G465" s="11" t="s">
        <v>1944</v>
      </c>
      <c r="H465" s="11" t="s">
        <v>1363</v>
      </c>
      <c r="I465" s="16" t="s">
        <v>1105</v>
      </c>
    </row>
    <row r="466" customFormat="false" ht="15" hidden="false" customHeight="false" outlineLevel="0" collapsed="false">
      <c r="A466" s="11" t="s">
        <v>613</v>
      </c>
      <c r="B466" s="11" t="s">
        <v>614</v>
      </c>
      <c r="C466" s="11" t="s">
        <v>85</v>
      </c>
      <c r="D466" s="14" t="s">
        <v>616</v>
      </c>
      <c r="E466" s="13" t="n">
        <v>287928</v>
      </c>
      <c r="F466" s="11" t="s">
        <v>1102</v>
      </c>
      <c r="G466" s="11" t="s">
        <v>1224</v>
      </c>
      <c r="H466" s="11" t="s">
        <v>1109</v>
      </c>
      <c r="I466" s="16" t="s">
        <v>1105</v>
      </c>
    </row>
    <row r="467" customFormat="false" ht="23.85" hidden="false" customHeight="false" outlineLevel="0" collapsed="false">
      <c r="A467" s="11" t="s">
        <v>613</v>
      </c>
      <c r="B467" s="11" t="s">
        <v>614</v>
      </c>
      <c r="C467" s="11" t="s">
        <v>1930</v>
      </c>
      <c r="D467" s="14" t="s">
        <v>1945</v>
      </c>
      <c r="E467" s="13" t="n">
        <v>14700</v>
      </c>
      <c r="F467" s="11" t="s">
        <v>1102</v>
      </c>
      <c r="G467" s="11" t="s">
        <v>1946</v>
      </c>
      <c r="H467" s="11" t="s">
        <v>1104</v>
      </c>
      <c r="I467" s="16" t="s">
        <v>1105</v>
      </c>
    </row>
    <row r="468" customFormat="false" ht="23.85" hidden="false" customHeight="false" outlineLevel="0" collapsed="false">
      <c r="A468" s="11" t="s">
        <v>613</v>
      </c>
      <c r="B468" s="11" t="s">
        <v>614</v>
      </c>
      <c r="C468" s="11" t="s">
        <v>1930</v>
      </c>
      <c r="D468" s="14" t="s">
        <v>1945</v>
      </c>
      <c r="E468" s="13" t="n">
        <v>14700</v>
      </c>
      <c r="F468" s="11" t="s">
        <v>1102</v>
      </c>
      <c r="G468" s="11" t="s">
        <v>1946</v>
      </c>
      <c r="H468" s="11" t="s">
        <v>1104</v>
      </c>
      <c r="I468" s="16" t="s">
        <v>1105</v>
      </c>
    </row>
    <row r="469" customFormat="false" ht="15" hidden="false" customHeight="false" outlineLevel="0" collapsed="false">
      <c r="A469" s="11" t="s">
        <v>613</v>
      </c>
      <c r="B469" s="11" t="s">
        <v>614</v>
      </c>
      <c r="C469" s="11" t="s">
        <v>1947</v>
      </c>
      <c r="D469" s="14" t="s">
        <v>1948</v>
      </c>
      <c r="E469" s="13" t="n">
        <v>10923.4</v>
      </c>
      <c r="F469" s="11" t="s">
        <v>1112</v>
      </c>
      <c r="G469" s="11" t="s">
        <v>1949</v>
      </c>
      <c r="H469" s="11" t="s">
        <v>1109</v>
      </c>
      <c r="I469" s="16" t="s">
        <v>1105</v>
      </c>
    </row>
    <row r="470" customFormat="false" ht="15" hidden="false" customHeight="false" outlineLevel="0" collapsed="false">
      <c r="A470" s="11" t="s">
        <v>617</v>
      </c>
      <c r="B470" s="11" t="s">
        <v>618</v>
      </c>
      <c r="C470" s="11" t="s">
        <v>620</v>
      </c>
      <c r="D470" s="14" t="s">
        <v>621</v>
      </c>
      <c r="E470" s="13" t="n">
        <v>7627.57</v>
      </c>
      <c r="F470" s="11" t="s">
        <v>1112</v>
      </c>
      <c r="G470" s="11" t="s">
        <v>1554</v>
      </c>
      <c r="H470" s="11" t="s">
        <v>1109</v>
      </c>
      <c r="I470" s="16" t="s">
        <v>1105</v>
      </c>
    </row>
    <row r="471" customFormat="false" ht="15" hidden="false" customHeight="false" outlineLevel="0" collapsed="false">
      <c r="A471" s="11" t="s">
        <v>617</v>
      </c>
      <c r="B471" s="11" t="s">
        <v>618</v>
      </c>
      <c r="C471" s="11" t="s">
        <v>1751</v>
      </c>
      <c r="D471" s="14" t="s">
        <v>1950</v>
      </c>
      <c r="E471" s="13" t="n">
        <v>5706.54</v>
      </c>
      <c r="F471" s="11" t="s">
        <v>1112</v>
      </c>
      <c r="G471" s="11" t="s">
        <v>1554</v>
      </c>
      <c r="H471" s="11" t="s">
        <v>1109</v>
      </c>
      <c r="I471" s="16" t="s">
        <v>1105</v>
      </c>
    </row>
    <row r="472" customFormat="false" ht="15" hidden="false" customHeight="false" outlineLevel="0" collapsed="false">
      <c r="A472" s="11" t="s">
        <v>622</v>
      </c>
      <c r="B472" s="11" t="s">
        <v>623</v>
      </c>
      <c r="C472" s="11" t="s">
        <v>625</v>
      </c>
      <c r="D472" s="14" t="s">
        <v>626</v>
      </c>
      <c r="E472" s="13" t="n">
        <v>161500</v>
      </c>
      <c r="F472" s="11" t="s">
        <v>1107</v>
      </c>
      <c r="G472" s="11" t="s">
        <v>1951</v>
      </c>
      <c r="H472" s="11" t="s">
        <v>1104</v>
      </c>
      <c r="I472" s="16" t="s">
        <v>1105</v>
      </c>
    </row>
    <row r="473" customFormat="false" ht="23.85" hidden="false" customHeight="false" outlineLevel="0" collapsed="false">
      <c r="A473" s="11" t="s">
        <v>622</v>
      </c>
      <c r="B473" s="11" t="s">
        <v>623</v>
      </c>
      <c r="C473" s="11" t="s">
        <v>1619</v>
      </c>
      <c r="D473" s="14" t="s">
        <v>1952</v>
      </c>
      <c r="E473" s="13" t="n">
        <v>1149912.79</v>
      </c>
      <c r="F473" s="11" t="s">
        <v>1102</v>
      </c>
      <c r="G473" s="11" t="s">
        <v>1953</v>
      </c>
      <c r="H473" s="11" t="s">
        <v>1146</v>
      </c>
      <c r="I473" s="16" t="s">
        <v>1105</v>
      </c>
    </row>
    <row r="474" customFormat="false" ht="15" hidden="false" customHeight="false" outlineLevel="0" collapsed="false">
      <c r="A474" s="11" t="s">
        <v>627</v>
      </c>
      <c r="B474" s="11" t="s">
        <v>628</v>
      </c>
      <c r="C474" s="11" t="s">
        <v>630</v>
      </c>
      <c r="D474" s="14" t="s">
        <v>631</v>
      </c>
      <c r="E474" s="13" t="n">
        <v>6383.25</v>
      </c>
      <c r="F474" s="11" t="s">
        <v>1112</v>
      </c>
      <c r="G474" s="11" t="s">
        <v>1740</v>
      </c>
      <c r="H474" s="11" t="s">
        <v>1109</v>
      </c>
      <c r="I474" s="16" t="s">
        <v>1105</v>
      </c>
    </row>
    <row r="475" customFormat="false" ht="15" hidden="false" customHeight="false" outlineLevel="0" collapsed="false">
      <c r="A475" s="11" t="s">
        <v>627</v>
      </c>
      <c r="B475" s="11" t="s">
        <v>628</v>
      </c>
      <c r="C475" s="11" t="s">
        <v>1954</v>
      </c>
      <c r="D475" s="14" t="s">
        <v>903</v>
      </c>
      <c r="E475" s="13" t="n">
        <v>5310</v>
      </c>
      <c r="F475" s="11" t="s">
        <v>1112</v>
      </c>
      <c r="G475" s="11" t="s">
        <v>1823</v>
      </c>
      <c r="H475" s="11" t="s">
        <v>1109</v>
      </c>
      <c r="I475" s="16" t="s">
        <v>1105</v>
      </c>
    </row>
    <row r="476" customFormat="false" ht="15" hidden="false" customHeight="false" outlineLevel="0" collapsed="false">
      <c r="A476" s="11" t="s">
        <v>632</v>
      </c>
      <c r="B476" s="11" t="s">
        <v>633</v>
      </c>
      <c r="C476" s="11" t="s">
        <v>635</v>
      </c>
      <c r="D476" s="14" t="s">
        <v>636</v>
      </c>
      <c r="E476" s="13" t="n">
        <v>49066</v>
      </c>
      <c r="F476" s="11" t="s">
        <v>1107</v>
      </c>
      <c r="G476" s="11" t="s">
        <v>1955</v>
      </c>
      <c r="H476" s="11" t="s">
        <v>1109</v>
      </c>
      <c r="I476" s="16" t="s">
        <v>1105</v>
      </c>
    </row>
    <row r="477" customFormat="false" ht="15" hidden="false" customHeight="false" outlineLevel="0" collapsed="false">
      <c r="A477" s="11" t="s">
        <v>632</v>
      </c>
      <c r="B477" s="11" t="s">
        <v>633</v>
      </c>
      <c r="C477" s="11" t="s">
        <v>1956</v>
      </c>
      <c r="D477" s="14" t="s">
        <v>636</v>
      </c>
      <c r="E477" s="13" t="n">
        <v>49066</v>
      </c>
      <c r="F477" s="11" t="s">
        <v>1107</v>
      </c>
      <c r="G477" s="11" t="s">
        <v>1957</v>
      </c>
      <c r="H477" s="11" t="s">
        <v>1109</v>
      </c>
      <c r="I477" s="16" t="s">
        <v>1105</v>
      </c>
    </row>
    <row r="478" customFormat="false" ht="23.85" hidden="false" customHeight="false" outlineLevel="0" collapsed="false">
      <c r="A478" s="11" t="s">
        <v>637</v>
      </c>
      <c r="B478" s="11" t="s">
        <v>638</v>
      </c>
      <c r="C478" s="11" t="s">
        <v>640</v>
      </c>
      <c r="D478" s="14" t="s">
        <v>641</v>
      </c>
      <c r="E478" s="13" t="n">
        <v>97766</v>
      </c>
      <c r="F478" s="11" t="s">
        <v>1283</v>
      </c>
      <c r="G478" s="11" t="s">
        <v>1958</v>
      </c>
      <c r="H478" s="11" t="s">
        <v>1109</v>
      </c>
      <c r="I478" s="16" t="s">
        <v>1105</v>
      </c>
    </row>
    <row r="479" customFormat="false" ht="23.85" hidden="false" customHeight="false" outlineLevel="0" collapsed="false">
      <c r="A479" s="11" t="s">
        <v>637</v>
      </c>
      <c r="B479" s="11" t="s">
        <v>638</v>
      </c>
      <c r="C479" s="11" t="s">
        <v>963</v>
      </c>
      <c r="D479" s="14" t="s">
        <v>1959</v>
      </c>
      <c r="E479" s="13" t="n">
        <v>10690</v>
      </c>
      <c r="F479" s="11" t="s">
        <v>1112</v>
      </c>
      <c r="G479" s="11" t="s">
        <v>1960</v>
      </c>
      <c r="H479" s="11" t="s">
        <v>1109</v>
      </c>
      <c r="I479" s="16" t="s">
        <v>1105</v>
      </c>
    </row>
    <row r="480" customFormat="false" ht="23.85" hidden="false" customHeight="false" outlineLevel="0" collapsed="false">
      <c r="A480" s="11" t="s">
        <v>642</v>
      </c>
      <c r="B480" s="11" t="s">
        <v>643</v>
      </c>
      <c r="C480" s="11" t="s">
        <v>645</v>
      </c>
      <c r="D480" s="14" t="s">
        <v>646</v>
      </c>
      <c r="E480" s="13" t="n">
        <v>116700</v>
      </c>
      <c r="F480" s="11" t="s">
        <v>1102</v>
      </c>
      <c r="G480" s="11" t="s">
        <v>1961</v>
      </c>
      <c r="H480" s="11" t="s">
        <v>1109</v>
      </c>
      <c r="I480" s="16" t="s">
        <v>1105</v>
      </c>
    </row>
    <row r="481" customFormat="false" ht="15" hidden="false" customHeight="false" outlineLevel="0" collapsed="false">
      <c r="A481" s="11" t="s">
        <v>642</v>
      </c>
      <c r="B481" s="11" t="s">
        <v>643</v>
      </c>
      <c r="C481" s="11" t="s">
        <v>992</v>
      </c>
      <c r="D481" s="14" t="s">
        <v>1962</v>
      </c>
      <c r="E481" s="13" t="n">
        <v>13824</v>
      </c>
      <c r="F481" s="11" t="s">
        <v>1112</v>
      </c>
      <c r="G481" s="11" t="s">
        <v>1963</v>
      </c>
      <c r="H481" s="11" t="s">
        <v>1109</v>
      </c>
      <c r="I481" s="16" t="s">
        <v>1105</v>
      </c>
    </row>
    <row r="482" customFormat="false" ht="15" hidden="false" customHeight="false" outlineLevel="0" collapsed="false">
      <c r="A482" s="11" t="s">
        <v>642</v>
      </c>
      <c r="B482" s="11" t="s">
        <v>643</v>
      </c>
      <c r="C482" s="11" t="s">
        <v>1964</v>
      </c>
      <c r="D482" s="14" t="s">
        <v>1965</v>
      </c>
      <c r="E482" s="13" t="n">
        <v>2032.94</v>
      </c>
      <c r="F482" s="11" t="s">
        <v>1112</v>
      </c>
      <c r="G482" s="11" t="s">
        <v>1966</v>
      </c>
      <c r="H482" s="11" t="s">
        <v>1109</v>
      </c>
      <c r="I482" s="16" t="s">
        <v>1105</v>
      </c>
    </row>
    <row r="483" customFormat="false" ht="23.85" hidden="false" customHeight="false" outlineLevel="0" collapsed="false">
      <c r="A483" s="11" t="s">
        <v>647</v>
      </c>
      <c r="B483" s="11" t="s">
        <v>648</v>
      </c>
      <c r="C483" s="11" t="s">
        <v>80</v>
      </c>
      <c r="D483" s="14" t="s">
        <v>650</v>
      </c>
      <c r="E483" s="13" t="n">
        <v>252264</v>
      </c>
      <c r="F483" s="11" t="s">
        <v>1283</v>
      </c>
      <c r="G483" s="11" t="s">
        <v>1967</v>
      </c>
      <c r="H483" s="11" t="s">
        <v>1133</v>
      </c>
      <c r="I483" s="16" t="s">
        <v>1105</v>
      </c>
    </row>
    <row r="484" customFormat="false" ht="15" hidden="false" customHeight="false" outlineLevel="0" collapsed="false">
      <c r="A484" s="11" t="s">
        <v>651</v>
      </c>
      <c r="B484" s="11" t="s">
        <v>652</v>
      </c>
      <c r="C484" s="11" t="s">
        <v>70</v>
      </c>
      <c r="D484" s="14" t="s">
        <v>654</v>
      </c>
      <c r="E484" s="13" t="n">
        <v>5124.6</v>
      </c>
      <c r="F484" s="11" t="s">
        <v>1112</v>
      </c>
      <c r="G484" s="11" t="s">
        <v>1968</v>
      </c>
      <c r="H484" s="11" t="s">
        <v>1104</v>
      </c>
      <c r="I484" s="16" t="s">
        <v>1105</v>
      </c>
    </row>
    <row r="485" customFormat="false" ht="23.85" hidden="false" customHeight="false" outlineLevel="0" collapsed="false">
      <c r="A485" s="11" t="s">
        <v>655</v>
      </c>
      <c r="B485" s="11" t="s">
        <v>656</v>
      </c>
      <c r="C485" s="11" t="s">
        <v>410</v>
      </c>
      <c r="D485" s="14" t="s">
        <v>658</v>
      </c>
      <c r="E485" s="13" t="n">
        <v>99400</v>
      </c>
      <c r="F485" s="11" t="s">
        <v>1283</v>
      </c>
      <c r="G485" s="11" t="s">
        <v>1969</v>
      </c>
      <c r="H485" s="11" t="s">
        <v>1133</v>
      </c>
      <c r="I485" s="16" t="s">
        <v>1105</v>
      </c>
    </row>
    <row r="486" customFormat="false" ht="23.85" hidden="false" customHeight="false" outlineLevel="0" collapsed="false">
      <c r="A486" s="11" t="s">
        <v>659</v>
      </c>
      <c r="B486" s="11" t="s">
        <v>660</v>
      </c>
      <c r="C486" s="11" t="s">
        <v>662</v>
      </c>
      <c r="D486" s="14" t="s">
        <v>663</v>
      </c>
      <c r="E486" s="13" t="n">
        <v>8800</v>
      </c>
      <c r="F486" s="11" t="s">
        <v>1112</v>
      </c>
      <c r="G486" s="11" t="s">
        <v>1970</v>
      </c>
      <c r="H486" s="11" t="s">
        <v>1133</v>
      </c>
      <c r="I486" s="16" t="s">
        <v>1105</v>
      </c>
    </row>
    <row r="487" customFormat="false" ht="23.85" hidden="false" customHeight="false" outlineLevel="0" collapsed="false">
      <c r="A487" s="11" t="s">
        <v>664</v>
      </c>
      <c r="B487" s="11" t="s">
        <v>665</v>
      </c>
      <c r="C487" s="11" t="s">
        <v>667</v>
      </c>
      <c r="D487" s="14" t="s">
        <v>668</v>
      </c>
      <c r="E487" s="13" t="n">
        <v>18596.31</v>
      </c>
      <c r="F487" s="11" t="s">
        <v>1112</v>
      </c>
      <c r="G487" s="11" t="s">
        <v>1971</v>
      </c>
      <c r="H487" s="11" t="s">
        <v>1104</v>
      </c>
      <c r="I487" s="16" t="s">
        <v>1105</v>
      </c>
    </row>
    <row r="488" customFormat="false" ht="23.85" hidden="false" customHeight="false" outlineLevel="0" collapsed="false">
      <c r="A488" s="11" t="s">
        <v>669</v>
      </c>
      <c r="B488" s="11" t="s">
        <v>670</v>
      </c>
      <c r="C488" s="11" t="s">
        <v>672</v>
      </c>
      <c r="D488" s="14" t="s">
        <v>673</v>
      </c>
      <c r="E488" s="13" t="n">
        <v>20700</v>
      </c>
      <c r="F488" s="11" t="s">
        <v>1107</v>
      </c>
      <c r="G488" s="11" t="s">
        <v>1972</v>
      </c>
      <c r="H488" s="11" t="s">
        <v>1133</v>
      </c>
      <c r="I488" s="16" t="s">
        <v>1105</v>
      </c>
    </row>
    <row r="489" customFormat="false" ht="15" hidden="false" customHeight="false" outlineLevel="0" collapsed="false">
      <c r="A489" s="11" t="s">
        <v>674</v>
      </c>
      <c r="B489" s="11" t="s">
        <v>675</v>
      </c>
      <c r="C489" s="11" t="s">
        <v>677</v>
      </c>
      <c r="D489" s="14" t="s">
        <v>678</v>
      </c>
      <c r="E489" s="13" t="n">
        <v>40233.54</v>
      </c>
      <c r="F489" s="11" t="s">
        <v>1107</v>
      </c>
      <c r="G489" s="11" t="s">
        <v>1973</v>
      </c>
      <c r="H489" s="11" t="s">
        <v>1104</v>
      </c>
      <c r="I489" s="16" t="s">
        <v>1105</v>
      </c>
    </row>
    <row r="490" customFormat="false" ht="35.05" hidden="false" customHeight="false" outlineLevel="0" collapsed="false">
      <c r="A490" s="11" t="s">
        <v>679</v>
      </c>
      <c r="B490" s="11" t="s">
        <v>680</v>
      </c>
      <c r="C490" s="11" t="s">
        <v>682</v>
      </c>
      <c r="D490" s="14" t="s">
        <v>683</v>
      </c>
      <c r="E490" s="13" t="n">
        <v>72290</v>
      </c>
      <c r="F490" s="11" t="s">
        <v>1107</v>
      </c>
      <c r="G490" s="11" t="s">
        <v>1974</v>
      </c>
      <c r="H490" s="11" t="s">
        <v>1633</v>
      </c>
      <c r="I490" s="16" t="s">
        <v>1105</v>
      </c>
    </row>
    <row r="491" customFormat="false" ht="15" hidden="false" customHeight="false" outlineLevel="0" collapsed="false">
      <c r="A491" s="11" t="s">
        <v>684</v>
      </c>
      <c r="B491" s="11" t="s">
        <v>685</v>
      </c>
      <c r="C491" s="11" t="s">
        <v>687</v>
      </c>
      <c r="D491" s="14" t="s">
        <v>688</v>
      </c>
      <c r="E491" s="13" t="n">
        <v>36882.05</v>
      </c>
      <c r="F491" s="11" t="s">
        <v>1107</v>
      </c>
      <c r="G491" s="11" t="s">
        <v>1975</v>
      </c>
      <c r="H491" s="11" t="s">
        <v>1133</v>
      </c>
      <c r="I491" s="16" t="s">
        <v>1105</v>
      </c>
    </row>
    <row r="492" customFormat="false" ht="15" hidden="false" customHeight="false" outlineLevel="0" collapsed="false">
      <c r="A492" s="11" t="s">
        <v>689</v>
      </c>
      <c r="B492" s="11" t="s">
        <v>690</v>
      </c>
      <c r="C492" s="11" t="s">
        <v>581</v>
      </c>
      <c r="D492" s="14" t="s">
        <v>692</v>
      </c>
      <c r="E492" s="13" t="n">
        <v>29920</v>
      </c>
      <c r="F492" s="11" t="s">
        <v>1112</v>
      </c>
      <c r="G492" s="11" t="s">
        <v>1976</v>
      </c>
      <c r="H492" s="11" t="s">
        <v>1104</v>
      </c>
      <c r="I492" s="16" t="s">
        <v>1105</v>
      </c>
    </row>
    <row r="493" customFormat="false" ht="23.85" hidden="false" customHeight="false" outlineLevel="0" collapsed="false">
      <c r="A493" s="11" t="s">
        <v>693</v>
      </c>
      <c r="B493" s="11" t="s">
        <v>694</v>
      </c>
      <c r="C493" s="11" t="s">
        <v>606</v>
      </c>
      <c r="D493" s="14" t="s">
        <v>696</v>
      </c>
      <c r="E493" s="13" t="n">
        <v>245771.75</v>
      </c>
      <c r="F493" s="11" t="s">
        <v>1102</v>
      </c>
      <c r="G493" s="11" t="s">
        <v>1977</v>
      </c>
      <c r="H493" s="11" t="s">
        <v>1109</v>
      </c>
      <c r="I493" s="16" t="s">
        <v>1105</v>
      </c>
    </row>
    <row r="494" customFormat="false" ht="23.85" hidden="false" customHeight="false" outlineLevel="0" collapsed="false">
      <c r="A494" s="11" t="s">
        <v>693</v>
      </c>
      <c r="B494" s="11" t="s">
        <v>694</v>
      </c>
      <c r="C494" s="11" t="s">
        <v>1978</v>
      </c>
      <c r="D494" s="14" t="s">
        <v>696</v>
      </c>
      <c r="E494" s="13" t="n">
        <v>320582</v>
      </c>
      <c r="F494" s="11" t="s">
        <v>1102</v>
      </c>
      <c r="G494" s="11" t="s">
        <v>1979</v>
      </c>
      <c r="H494" s="11" t="s">
        <v>1109</v>
      </c>
      <c r="I494" s="16" t="s">
        <v>1105</v>
      </c>
    </row>
    <row r="495" customFormat="false" ht="23.85" hidden="false" customHeight="false" outlineLevel="0" collapsed="false">
      <c r="A495" s="11" t="s">
        <v>693</v>
      </c>
      <c r="B495" s="11" t="s">
        <v>694</v>
      </c>
      <c r="C495" s="11" t="s">
        <v>1978</v>
      </c>
      <c r="D495" s="14" t="s">
        <v>696</v>
      </c>
      <c r="E495" s="13" t="n">
        <v>23752</v>
      </c>
      <c r="F495" s="11" t="s">
        <v>1102</v>
      </c>
      <c r="G495" s="11" t="s">
        <v>1980</v>
      </c>
      <c r="H495" s="11" t="s">
        <v>1109</v>
      </c>
      <c r="I495" s="16" t="s">
        <v>1105</v>
      </c>
    </row>
    <row r="496" customFormat="false" ht="23.85" hidden="false" customHeight="false" outlineLevel="0" collapsed="false">
      <c r="A496" s="11" t="s">
        <v>693</v>
      </c>
      <c r="B496" s="11" t="s">
        <v>694</v>
      </c>
      <c r="C496" s="11" t="s">
        <v>1978</v>
      </c>
      <c r="D496" s="14" t="s">
        <v>696</v>
      </c>
      <c r="E496" s="13" t="n">
        <v>100152</v>
      </c>
      <c r="F496" s="11" t="s">
        <v>1102</v>
      </c>
      <c r="G496" s="11" t="s">
        <v>1979</v>
      </c>
      <c r="H496" s="11" t="s">
        <v>1109</v>
      </c>
      <c r="I496" s="16" t="s">
        <v>1105</v>
      </c>
    </row>
    <row r="497" customFormat="false" ht="23.85" hidden="false" customHeight="false" outlineLevel="0" collapsed="false">
      <c r="A497" s="11" t="s">
        <v>693</v>
      </c>
      <c r="B497" s="11" t="s">
        <v>694</v>
      </c>
      <c r="C497" s="11" t="s">
        <v>1978</v>
      </c>
      <c r="D497" s="14" t="s">
        <v>696</v>
      </c>
      <c r="E497" s="13" t="n">
        <v>7601.36</v>
      </c>
      <c r="F497" s="11" t="s">
        <v>1102</v>
      </c>
      <c r="G497" s="11" t="s">
        <v>1981</v>
      </c>
      <c r="H497" s="11" t="s">
        <v>1109</v>
      </c>
      <c r="I497" s="16" t="s">
        <v>1105</v>
      </c>
    </row>
    <row r="498" customFormat="false" ht="23.85" hidden="false" customHeight="false" outlineLevel="0" collapsed="false">
      <c r="A498" s="11" t="s">
        <v>697</v>
      </c>
      <c r="B498" s="11" t="s">
        <v>698</v>
      </c>
      <c r="C498" s="11" t="s">
        <v>700</v>
      </c>
      <c r="D498" s="14" t="s">
        <v>701</v>
      </c>
      <c r="E498" s="13" t="n">
        <v>14250</v>
      </c>
      <c r="F498" s="11" t="s">
        <v>1107</v>
      </c>
      <c r="G498" s="11" t="s">
        <v>1982</v>
      </c>
      <c r="H498" s="11" t="s">
        <v>1146</v>
      </c>
      <c r="I498" s="16" t="s">
        <v>1105</v>
      </c>
    </row>
    <row r="499" customFormat="false" ht="23.85" hidden="false" customHeight="false" outlineLevel="0" collapsed="false">
      <c r="A499" s="11" t="s">
        <v>697</v>
      </c>
      <c r="B499" s="11" t="s">
        <v>698</v>
      </c>
      <c r="C499" s="11" t="s">
        <v>700</v>
      </c>
      <c r="D499" s="14" t="s">
        <v>701</v>
      </c>
      <c r="E499" s="13" t="n">
        <v>37500</v>
      </c>
      <c r="F499" s="11" t="s">
        <v>1107</v>
      </c>
      <c r="G499" s="11" t="s">
        <v>1982</v>
      </c>
      <c r="H499" s="11" t="s">
        <v>1146</v>
      </c>
      <c r="I499" s="16" t="s">
        <v>1105</v>
      </c>
    </row>
    <row r="500" customFormat="false" ht="23.85" hidden="false" customHeight="false" outlineLevel="0" collapsed="false">
      <c r="A500" s="11" t="s">
        <v>702</v>
      </c>
      <c r="B500" s="11" t="s">
        <v>703</v>
      </c>
      <c r="C500" s="11" t="s">
        <v>179</v>
      </c>
      <c r="D500" s="14" t="s">
        <v>705</v>
      </c>
      <c r="E500" s="13" t="n">
        <v>182861.38</v>
      </c>
      <c r="F500" s="11" t="s">
        <v>1102</v>
      </c>
      <c r="G500" s="11" t="s">
        <v>1182</v>
      </c>
      <c r="H500" s="11" t="s">
        <v>1109</v>
      </c>
      <c r="I500" s="16" t="s">
        <v>1105</v>
      </c>
    </row>
    <row r="501" customFormat="false" ht="23.85" hidden="false" customHeight="false" outlineLevel="0" collapsed="false">
      <c r="A501" s="11" t="s">
        <v>702</v>
      </c>
      <c r="B501" s="11" t="s">
        <v>703</v>
      </c>
      <c r="C501" s="11" t="s">
        <v>1692</v>
      </c>
      <c r="D501" s="14" t="s">
        <v>1983</v>
      </c>
      <c r="E501" s="13" t="n">
        <v>89412</v>
      </c>
      <c r="F501" s="11" t="s">
        <v>1112</v>
      </c>
      <c r="G501" s="11" t="s">
        <v>1984</v>
      </c>
      <c r="H501" s="11" t="s">
        <v>1109</v>
      </c>
      <c r="I501" s="16" t="s">
        <v>1105</v>
      </c>
    </row>
    <row r="502" customFormat="false" ht="23.85" hidden="false" customHeight="false" outlineLevel="0" collapsed="false">
      <c r="A502" s="11" t="s">
        <v>706</v>
      </c>
      <c r="B502" s="11" t="s">
        <v>707</v>
      </c>
      <c r="C502" s="11" t="s">
        <v>419</v>
      </c>
      <c r="D502" s="14" t="s">
        <v>709</v>
      </c>
      <c r="E502" s="13" t="n">
        <v>24300</v>
      </c>
      <c r="F502" s="11" t="s">
        <v>1107</v>
      </c>
      <c r="G502" s="11" t="s">
        <v>1589</v>
      </c>
      <c r="H502" s="11" t="s">
        <v>1109</v>
      </c>
      <c r="I502" s="16" t="s">
        <v>1105</v>
      </c>
    </row>
    <row r="503" customFormat="false" ht="23.85" hidden="false" customHeight="false" outlineLevel="0" collapsed="false">
      <c r="A503" s="11" t="s">
        <v>706</v>
      </c>
      <c r="B503" s="11" t="s">
        <v>707</v>
      </c>
      <c r="C503" s="11" t="s">
        <v>717</v>
      </c>
      <c r="D503" s="14" t="s">
        <v>1985</v>
      </c>
      <c r="E503" s="13" t="n">
        <v>18399.22</v>
      </c>
      <c r="F503" s="11" t="s">
        <v>1102</v>
      </c>
      <c r="G503" s="11" t="s">
        <v>1986</v>
      </c>
      <c r="H503" s="11" t="s">
        <v>1109</v>
      </c>
      <c r="I503" s="16" t="s">
        <v>1105</v>
      </c>
    </row>
    <row r="504" customFormat="false" ht="23.85" hidden="false" customHeight="false" outlineLevel="0" collapsed="false">
      <c r="A504" s="11" t="s">
        <v>710</v>
      </c>
      <c r="B504" s="11" t="s">
        <v>711</v>
      </c>
      <c r="C504" s="11" t="s">
        <v>419</v>
      </c>
      <c r="D504" s="14" t="s">
        <v>713</v>
      </c>
      <c r="E504" s="13" t="n">
        <v>367460</v>
      </c>
      <c r="F504" s="11" t="s">
        <v>1102</v>
      </c>
      <c r="G504" s="11" t="s">
        <v>1987</v>
      </c>
      <c r="H504" s="11" t="s">
        <v>1109</v>
      </c>
      <c r="I504" s="16" t="s">
        <v>1105</v>
      </c>
    </row>
    <row r="505" customFormat="false" ht="23.85" hidden="false" customHeight="false" outlineLevel="0" collapsed="false">
      <c r="A505" s="11" t="s">
        <v>710</v>
      </c>
      <c r="B505" s="11" t="s">
        <v>711</v>
      </c>
      <c r="C505" s="11" t="s">
        <v>1046</v>
      </c>
      <c r="D505" s="14" t="s">
        <v>1988</v>
      </c>
      <c r="E505" s="13" t="n">
        <v>3288</v>
      </c>
      <c r="F505" s="11" t="s">
        <v>1112</v>
      </c>
      <c r="G505" s="11" t="s">
        <v>1989</v>
      </c>
      <c r="H505" s="11" t="s">
        <v>1109</v>
      </c>
      <c r="I505" s="16" t="s">
        <v>1105</v>
      </c>
    </row>
    <row r="506" customFormat="false" ht="15" hidden="false" customHeight="false" outlineLevel="0" collapsed="false">
      <c r="A506" s="11" t="s">
        <v>714</v>
      </c>
      <c r="B506" s="11" t="s">
        <v>715</v>
      </c>
      <c r="C506" s="11" t="s">
        <v>717</v>
      </c>
      <c r="D506" s="14" t="s">
        <v>718</v>
      </c>
      <c r="E506" s="13" t="n">
        <v>5689.6</v>
      </c>
      <c r="F506" s="11" t="s">
        <v>1107</v>
      </c>
      <c r="G506" s="11" t="s">
        <v>1741</v>
      </c>
      <c r="H506" s="11" t="s">
        <v>1109</v>
      </c>
      <c r="I506" s="16" t="s">
        <v>1105</v>
      </c>
    </row>
    <row r="507" customFormat="false" ht="15" hidden="false" customHeight="false" outlineLevel="0" collapsed="false">
      <c r="A507" s="11" t="s">
        <v>714</v>
      </c>
      <c r="B507" s="11" t="s">
        <v>715</v>
      </c>
      <c r="C507" s="11" t="s">
        <v>1894</v>
      </c>
      <c r="D507" s="14" t="s">
        <v>1990</v>
      </c>
      <c r="E507" s="13" t="n">
        <v>31919.5</v>
      </c>
      <c r="F507" s="11" t="s">
        <v>1107</v>
      </c>
      <c r="G507" s="11" t="s">
        <v>1488</v>
      </c>
      <c r="H507" s="11" t="s">
        <v>1109</v>
      </c>
      <c r="I507" s="16" t="s">
        <v>1105</v>
      </c>
    </row>
    <row r="508" customFormat="false" ht="23.85" hidden="false" customHeight="false" outlineLevel="0" collapsed="false">
      <c r="A508" s="11" t="s">
        <v>719</v>
      </c>
      <c r="B508" s="11" t="s">
        <v>720</v>
      </c>
      <c r="C508" s="11" t="s">
        <v>80</v>
      </c>
      <c r="D508" s="14" t="s">
        <v>722</v>
      </c>
      <c r="E508" s="13" t="n">
        <v>74000</v>
      </c>
      <c r="F508" s="11" t="s">
        <v>1107</v>
      </c>
      <c r="G508" s="11" t="s">
        <v>1353</v>
      </c>
      <c r="H508" s="11" t="s">
        <v>1146</v>
      </c>
      <c r="I508" s="16" t="s">
        <v>1105</v>
      </c>
    </row>
    <row r="509" customFormat="false" ht="23.85" hidden="false" customHeight="false" outlineLevel="0" collapsed="false">
      <c r="A509" s="11" t="s">
        <v>723</v>
      </c>
      <c r="B509" s="11" t="s">
        <v>724</v>
      </c>
      <c r="C509" s="11" t="s">
        <v>80</v>
      </c>
      <c r="D509" s="14" t="s">
        <v>726</v>
      </c>
      <c r="E509" s="13" t="n">
        <v>11890</v>
      </c>
      <c r="F509" s="11" t="s">
        <v>1107</v>
      </c>
      <c r="G509" s="11" t="s">
        <v>1991</v>
      </c>
      <c r="H509" s="11" t="s">
        <v>1146</v>
      </c>
      <c r="I509" s="16" t="s">
        <v>1105</v>
      </c>
    </row>
    <row r="510" customFormat="false" ht="23.85" hidden="false" customHeight="false" outlineLevel="0" collapsed="false">
      <c r="A510" s="11" t="s">
        <v>727</v>
      </c>
      <c r="B510" s="11" t="s">
        <v>728</v>
      </c>
      <c r="C510" s="11" t="s">
        <v>207</v>
      </c>
      <c r="D510" s="14" t="s">
        <v>730</v>
      </c>
      <c r="E510" s="13" t="n">
        <v>59850</v>
      </c>
      <c r="F510" s="11" t="s">
        <v>1107</v>
      </c>
      <c r="G510" s="11" t="s">
        <v>1992</v>
      </c>
      <c r="H510" s="11" t="s">
        <v>1146</v>
      </c>
      <c r="I510" s="16" t="s">
        <v>1105</v>
      </c>
    </row>
    <row r="511" customFormat="false" ht="23.85" hidden="false" customHeight="false" outlineLevel="0" collapsed="false">
      <c r="A511" s="11" t="s">
        <v>731</v>
      </c>
      <c r="B511" s="11" t="s">
        <v>732</v>
      </c>
      <c r="C511" s="11" t="s">
        <v>216</v>
      </c>
      <c r="D511" s="14" t="s">
        <v>734</v>
      </c>
      <c r="E511" s="13" t="n">
        <v>60585.2</v>
      </c>
      <c r="F511" s="11" t="s">
        <v>1107</v>
      </c>
      <c r="G511" s="11" t="s">
        <v>1993</v>
      </c>
      <c r="H511" s="11" t="s">
        <v>1146</v>
      </c>
      <c r="I511" s="16" t="s">
        <v>1105</v>
      </c>
    </row>
    <row r="512" customFormat="false" ht="23.85" hidden="false" customHeight="false" outlineLevel="0" collapsed="false">
      <c r="A512" s="11" t="s">
        <v>735</v>
      </c>
      <c r="B512" s="11" t="s">
        <v>736</v>
      </c>
      <c r="C512" s="11" t="s">
        <v>738</v>
      </c>
      <c r="D512" s="14" t="s">
        <v>739</v>
      </c>
      <c r="E512" s="13" t="n">
        <v>75000</v>
      </c>
      <c r="F512" s="11" t="s">
        <v>1107</v>
      </c>
      <c r="G512" s="11" t="s">
        <v>1994</v>
      </c>
      <c r="H512" s="11" t="s">
        <v>1146</v>
      </c>
      <c r="I512" s="16" t="s">
        <v>1105</v>
      </c>
    </row>
    <row r="513" customFormat="false" ht="23.85" hidden="false" customHeight="false" outlineLevel="0" collapsed="false">
      <c r="A513" s="11" t="s">
        <v>740</v>
      </c>
      <c r="B513" s="11" t="s">
        <v>741</v>
      </c>
      <c r="C513" s="11" t="s">
        <v>132</v>
      </c>
      <c r="D513" s="14" t="s">
        <v>743</v>
      </c>
      <c r="E513" s="13" t="n">
        <v>9250</v>
      </c>
      <c r="F513" s="11" t="s">
        <v>1112</v>
      </c>
      <c r="G513" s="11" t="s">
        <v>1995</v>
      </c>
      <c r="H513" s="11" t="s">
        <v>1146</v>
      </c>
      <c r="I513" s="16" t="s">
        <v>1105</v>
      </c>
    </row>
    <row r="514" customFormat="false" ht="23.85" hidden="false" customHeight="false" outlineLevel="0" collapsed="false">
      <c r="A514" s="11" t="s">
        <v>744</v>
      </c>
      <c r="B514" s="11" t="s">
        <v>745</v>
      </c>
      <c r="C514" s="11" t="s">
        <v>461</v>
      </c>
      <c r="D514" s="14" t="s">
        <v>747</v>
      </c>
      <c r="E514" s="13" t="n">
        <v>7740</v>
      </c>
      <c r="F514" s="11" t="s">
        <v>1107</v>
      </c>
      <c r="G514" s="11" t="s">
        <v>1996</v>
      </c>
      <c r="H514" s="11" t="s">
        <v>1146</v>
      </c>
      <c r="I514" s="16" t="s">
        <v>1105</v>
      </c>
    </row>
    <row r="515" customFormat="false" ht="15" hidden="false" customHeight="false" outlineLevel="0" collapsed="false">
      <c r="A515" s="11" t="s">
        <v>748</v>
      </c>
      <c r="B515" s="11" t="s">
        <v>749</v>
      </c>
      <c r="C515" s="11" t="s">
        <v>751</v>
      </c>
      <c r="D515" s="14" t="s">
        <v>752</v>
      </c>
      <c r="E515" s="13" t="n">
        <v>7302.32</v>
      </c>
      <c r="F515" s="11" t="s">
        <v>1112</v>
      </c>
      <c r="G515" s="11" t="s">
        <v>1997</v>
      </c>
      <c r="H515" s="11" t="s">
        <v>1146</v>
      </c>
      <c r="I515" s="16" t="s">
        <v>1105</v>
      </c>
    </row>
    <row r="516" customFormat="false" ht="23.85" hidden="false" customHeight="false" outlineLevel="0" collapsed="false">
      <c r="A516" s="11" t="s">
        <v>753</v>
      </c>
      <c r="B516" s="11" t="s">
        <v>754</v>
      </c>
      <c r="C516" s="11" t="s">
        <v>756</v>
      </c>
      <c r="D516" s="14" t="s">
        <v>602</v>
      </c>
      <c r="E516" s="13" t="n">
        <v>69900</v>
      </c>
      <c r="F516" s="11" t="s">
        <v>1107</v>
      </c>
      <c r="G516" s="11" t="s">
        <v>1731</v>
      </c>
      <c r="H516" s="11" t="s">
        <v>1146</v>
      </c>
      <c r="I516" s="16" t="s">
        <v>1105</v>
      </c>
    </row>
    <row r="517" customFormat="false" ht="23.85" hidden="false" customHeight="false" outlineLevel="0" collapsed="false">
      <c r="A517" s="11" t="s">
        <v>757</v>
      </c>
      <c r="B517" s="11" t="s">
        <v>758</v>
      </c>
      <c r="C517" s="11" t="s">
        <v>287</v>
      </c>
      <c r="D517" s="14" t="s">
        <v>602</v>
      </c>
      <c r="E517" s="13" t="n">
        <v>104900</v>
      </c>
      <c r="F517" s="11" t="s">
        <v>1283</v>
      </c>
      <c r="G517" s="11" t="s">
        <v>1731</v>
      </c>
      <c r="H517" s="11" t="s">
        <v>1146</v>
      </c>
      <c r="I517" s="16" t="s">
        <v>1105</v>
      </c>
    </row>
    <row r="518" customFormat="false" ht="23.85" hidden="false" customHeight="false" outlineLevel="0" collapsed="false">
      <c r="A518" s="11" t="s">
        <v>759</v>
      </c>
      <c r="B518" s="11" t="s">
        <v>760</v>
      </c>
      <c r="C518" s="11" t="s">
        <v>762</v>
      </c>
      <c r="D518" s="14" t="s">
        <v>763</v>
      </c>
      <c r="E518" s="13" t="n">
        <v>7500</v>
      </c>
      <c r="F518" s="11" t="s">
        <v>1112</v>
      </c>
      <c r="G518" s="11" t="s">
        <v>1998</v>
      </c>
      <c r="H518" s="11" t="s">
        <v>1146</v>
      </c>
      <c r="I518" s="16" t="s">
        <v>1105</v>
      </c>
    </row>
    <row r="519" customFormat="false" ht="15" hidden="false" customHeight="false" outlineLevel="0" collapsed="false">
      <c r="A519" s="11" t="s">
        <v>764</v>
      </c>
      <c r="B519" s="11" t="s">
        <v>765</v>
      </c>
      <c r="C519" s="11" t="s">
        <v>767</v>
      </c>
      <c r="D519" s="14" t="s">
        <v>768</v>
      </c>
      <c r="E519" s="13" t="n">
        <v>5850</v>
      </c>
      <c r="F519" s="11" t="s">
        <v>1112</v>
      </c>
      <c r="G519" s="11" t="s">
        <v>1982</v>
      </c>
      <c r="H519" s="11" t="s">
        <v>1146</v>
      </c>
      <c r="I519" s="16" t="s">
        <v>1105</v>
      </c>
    </row>
    <row r="520" customFormat="false" ht="23.85" hidden="false" customHeight="false" outlineLevel="0" collapsed="false">
      <c r="A520" s="11" t="s">
        <v>769</v>
      </c>
      <c r="B520" s="11" t="s">
        <v>770</v>
      </c>
      <c r="C520" s="11" t="s">
        <v>772</v>
      </c>
      <c r="D520" s="14" t="s">
        <v>773</v>
      </c>
      <c r="E520" s="13" t="n">
        <v>37000</v>
      </c>
      <c r="F520" s="11" t="s">
        <v>1107</v>
      </c>
      <c r="G520" s="11" t="s">
        <v>1999</v>
      </c>
      <c r="H520" s="11" t="s">
        <v>1146</v>
      </c>
      <c r="I520" s="16" t="s">
        <v>1105</v>
      </c>
    </row>
    <row r="521" customFormat="false" ht="23.85" hidden="false" customHeight="false" outlineLevel="0" collapsed="false">
      <c r="A521" s="11" t="s">
        <v>774</v>
      </c>
      <c r="B521" s="11" t="s">
        <v>775</v>
      </c>
      <c r="C521" s="11" t="s">
        <v>777</v>
      </c>
      <c r="D521" s="14" t="s">
        <v>778</v>
      </c>
      <c r="E521" s="13" t="n">
        <v>6250</v>
      </c>
      <c r="F521" s="11" t="s">
        <v>1112</v>
      </c>
      <c r="G521" s="11" t="s">
        <v>2000</v>
      </c>
      <c r="H521" s="11" t="s">
        <v>1146</v>
      </c>
      <c r="I521" s="16" t="s">
        <v>1105</v>
      </c>
    </row>
    <row r="522" customFormat="false" ht="23.85" hidden="false" customHeight="false" outlineLevel="0" collapsed="false">
      <c r="A522" s="11" t="s">
        <v>779</v>
      </c>
      <c r="B522" s="11" t="s">
        <v>780</v>
      </c>
      <c r="C522" s="11" t="s">
        <v>385</v>
      </c>
      <c r="D522" s="14" t="s">
        <v>782</v>
      </c>
      <c r="E522" s="13" t="n">
        <v>22300</v>
      </c>
      <c r="F522" s="11" t="s">
        <v>1107</v>
      </c>
      <c r="G522" s="11" t="s">
        <v>2001</v>
      </c>
      <c r="H522" s="11" t="s">
        <v>1146</v>
      </c>
      <c r="I522" s="16" t="s">
        <v>1105</v>
      </c>
    </row>
    <row r="523" customFormat="false" ht="23.85" hidden="false" customHeight="false" outlineLevel="0" collapsed="false">
      <c r="A523" s="11" t="s">
        <v>783</v>
      </c>
      <c r="B523" s="11" t="s">
        <v>784</v>
      </c>
      <c r="C523" s="11" t="s">
        <v>385</v>
      </c>
      <c r="D523" s="14" t="s">
        <v>786</v>
      </c>
      <c r="E523" s="13" t="n">
        <v>9900</v>
      </c>
      <c r="F523" s="11" t="s">
        <v>1112</v>
      </c>
      <c r="G523" s="11" t="s">
        <v>2002</v>
      </c>
      <c r="H523" s="11" t="s">
        <v>1146</v>
      </c>
      <c r="I523" s="16" t="s">
        <v>1105</v>
      </c>
    </row>
    <row r="524" customFormat="false" ht="23.85" hidden="false" customHeight="false" outlineLevel="0" collapsed="false">
      <c r="A524" s="11" t="s">
        <v>787</v>
      </c>
      <c r="B524" s="11" t="s">
        <v>788</v>
      </c>
      <c r="C524" s="11" t="s">
        <v>790</v>
      </c>
      <c r="D524" s="14" t="s">
        <v>791</v>
      </c>
      <c r="E524" s="13" t="n">
        <v>50200</v>
      </c>
      <c r="F524" s="11" t="s">
        <v>1107</v>
      </c>
      <c r="G524" s="11" t="s">
        <v>2003</v>
      </c>
      <c r="H524" s="11" t="s">
        <v>1146</v>
      </c>
      <c r="I524" s="16" t="s">
        <v>1105</v>
      </c>
    </row>
    <row r="525" customFormat="false" ht="35.05" hidden="false" customHeight="false" outlineLevel="0" collapsed="false">
      <c r="A525" s="11" t="s">
        <v>792</v>
      </c>
      <c r="B525" s="11" t="s">
        <v>793</v>
      </c>
      <c r="C525" s="11" t="s">
        <v>795</v>
      </c>
      <c r="D525" s="14" t="s">
        <v>796</v>
      </c>
      <c r="E525" s="13" t="n">
        <v>12000</v>
      </c>
      <c r="F525" s="11" t="s">
        <v>1107</v>
      </c>
      <c r="G525" s="11" t="s">
        <v>2004</v>
      </c>
      <c r="H525" s="11" t="s">
        <v>1146</v>
      </c>
      <c r="I525" s="16" t="s">
        <v>1105</v>
      </c>
    </row>
    <row r="526" customFormat="false" ht="23.85" hidden="false" customHeight="false" outlineLevel="0" collapsed="false">
      <c r="A526" s="11" t="s">
        <v>797</v>
      </c>
      <c r="B526" s="11" t="s">
        <v>798</v>
      </c>
      <c r="C526" s="11" t="s">
        <v>800</v>
      </c>
      <c r="D526" s="14" t="s">
        <v>801</v>
      </c>
      <c r="E526" s="13" t="n">
        <v>59993</v>
      </c>
      <c r="F526" s="11" t="s">
        <v>1112</v>
      </c>
      <c r="G526" s="11" t="s">
        <v>2005</v>
      </c>
      <c r="H526" s="11" t="s">
        <v>1146</v>
      </c>
      <c r="I526" s="16" t="s">
        <v>1105</v>
      </c>
    </row>
    <row r="527" customFormat="false" ht="15" hidden="false" customHeight="false" outlineLevel="0" collapsed="false">
      <c r="A527" s="11" t="s">
        <v>802</v>
      </c>
      <c r="B527" s="11" t="s">
        <v>803</v>
      </c>
      <c r="C527" s="11" t="s">
        <v>805</v>
      </c>
      <c r="D527" s="14" t="s">
        <v>806</v>
      </c>
      <c r="E527" s="13" t="n">
        <v>5000</v>
      </c>
      <c r="F527" s="11" t="s">
        <v>1112</v>
      </c>
      <c r="G527" s="11" t="s">
        <v>2006</v>
      </c>
      <c r="H527" s="11" t="s">
        <v>1146</v>
      </c>
      <c r="I527" s="16" t="s">
        <v>1105</v>
      </c>
    </row>
    <row r="528" customFormat="false" ht="23.85" hidden="false" customHeight="false" outlineLevel="0" collapsed="false">
      <c r="A528" s="11" t="s">
        <v>807</v>
      </c>
      <c r="B528" s="11" t="s">
        <v>808</v>
      </c>
      <c r="C528" s="11" t="s">
        <v>809</v>
      </c>
      <c r="D528" s="14" t="s">
        <v>810</v>
      </c>
      <c r="E528" s="13" t="n">
        <v>18250</v>
      </c>
      <c r="F528" s="11" t="s">
        <v>1112</v>
      </c>
      <c r="G528" s="11" t="s">
        <v>2002</v>
      </c>
      <c r="H528" s="11" t="s">
        <v>1146</v>
      </c>
      <c r="I528" s="16" t="s">
        <v>1105</v>
      </c>
    </row>
    <row r="529" customFormat="false" ht="23.85" hidden="false" customHeight="false" outlineLevel="0" collapsed="false">
      <c r="A529" s="11" t="s">
        <v>811</v>
      </c>
      <c r="B529" s="11" t="s">
        <v>812</v>
      </c>
      <c r="C529" s="11" t="s">
        <v>814</v>
      </c>
      <c r="D529" s="14" t="s">
        <v>815</v>
      </c>
      <c r="E529" s="13" t="n">
        <v>37000</v>
      </c>
      <c r="F529" s="11" t="s">
        <v>1107</v>
      </c>
      <c r="G529" s="11" t="s">
        <v>1896</v>
      </c>
      <c r="H529" s="11" t="s">
        <v>1146</v>
      </c>
      <c r="I529" s="16" t="s">
        <v>1105</v>
      </c>
    </row>
    <row r="530" customFormat="false" ht="23.85" hidden="false" customHeight="false" outlineLevel="0" collapsed="false">
      <c r="A530" s="11" t="s">
        <v>816</v>
      </c>
      <c r="B530" s="11" t="s">
        <v>817</v>
      </c>
      <c r="C530" s="11" t="s">
        <v>819</v>
      </c>
      <c r="D530" s="14" t="s">
        <v>820</v>
      </c>
      <c r="E530" s="13" t="n">
        <v>9323.56</v>
      </c>
      <c r="F530" s="11" t="s">
        <v>1112</v>
      </c>
      <c r="G530" s="11" t="s">
        <v>2007</v>
      </c>
      <c r="H530" s="11" t="s">
        <v>1146</v>
      </c>
      <c r="I530" s="16" t="s">
        <v>1105</v>
      </c>
    </row>
    <row r="531" customFormat="false" ht="15" hidden="false" customHeight="false" outlineLevel="0" collapsed="false">
      <c r="A531" s="11" t="s">
        <v>821</v>
      </c>
      <c r="B531" s="11" t="s">
        <v>822</v>
      </c>
      <c r="C531" s="11" t="s">
        <v>824</v>
      </c>
      <c r="D531" s="14" t="s">
        <v>825</v>
      </c>
      <c r="E531" s="13" t="n">
        <v>19600</v>
      </c>
      <c r="F531" s="11" t="s">
        <v>1112</v>
      </c>
      <c r="G531" s="11" t="s">
        <v>2008</v>
      </c>
      <c r="H531" s="11" t="s">
        <v>1146</v>
      </c>
      <c r="I531" s="16" t="s">
        <v>1105</v>
      </c>
    </row>
    <row r="532" customFormat="false" ht="15" hidden="false" customHeight="false" outlineLevel="0" collapsed="false">
      <c r="A532" s="11" t="s">
        <v>826</v>
      </c>
      <c r="B532" s="11" t="s">
        <v>827</v>
      </c>
      <c r="C532" s="11" t="s">
        <v>829</v>
      </c>
      <c r="D532" s="14" t="s">
        <v>830</v>
      </c>
      <c r="E532" s="13" t="n">
        <v>5850</v>
      </c>
      <c r="F532" s="11" t="s">
        <v>1112</v>
      </c>
      <c r="G532" s="11" t="s">
        <v>2009</v>
      </c>
      <c r="H532" s="11" t="s">
        <v>1146</v>
      </c>
      <c r="I532" s="16" t="s">
        <v>1105</v>
      </c>
    </row>
    <row r="533" customFormat="false" ht="23.85" hidden="false" customHeight="false" outlineLevel="0" collapsed="false">
      <c r="A533" s="11" t="s">
        <v>831</v>
      </c>
      <c r="B533" s="11" t="s">
        <v>832</v>
      </c>
      <c r="C533" s="11" t="s">
        <v>834</v>
      </c>
      <c r="D533" s="14" t="s">
        <v>835</v>
      </c>
      <c r="E533" s="13" t="n">
        <v>6950</v>
      </c>
      <c r="F533" s="11" t="s">
        <v>1112</v>
      </c>
      <c r="G533" s="11" t="s">
        <v>2010</v>
      </c>
      <c r="H533" s="11" t="s">
        <v>1146</v>
      </c>
      <c r="I533" s="16" t="s">
        <v>1105</v>
      </c>
    </row>
    <row r="534" customFormat="false" ht="23.85" hidden="false" customHeight="false" outlineLevel="0" collapsed="false">
      <c r="A534" s="11" t="s">
        <v>836</v>
      </c>
      <c r="B534" s="11" t="s">
        <v>837</v>
      </c>
      <c r="C534" s="11" t="s">
        <v>839</v>
      </c>
      <c r="D534" s="14" t="s">
        <v>840</v>
      </c>
      <c r="E534" s="13" t="n">
        <v>47805</v>
      </c>
      <c r="F534" s="11" t="s">
        <v>1107</v>
      </c>
      <c r="G534" s="11" t="s">
        <v>2011</v>
      </c>
      <c r="H534" s="11" t="s">
        <v>1146</v>
      </c>
      <c r="I534" s="16" t="s">
        <v>1105</v>
      </c>
    </row>
    <row r="535" customFormat="false" ht="15" hidden="false" customHeight="false" outlineLevel="0" collapsed="false">
      <c r="A535" s="11" t="s">
        <v>841</v>
      </c>
      <c r="B535" s="11" t="s">
        <v>842</v>
      </c>
      <c r="C535" s="11" t="s">
        <v>844</v>
      </c>
      <c r="D535" s="14" t="s">
        <v>845</v>
      </c>
      <c r="E535" s="13" t="n">
        <v>84876.18</v>
      </c>
      <c r="F535" s="11" t="s">
        <v>1107</v>
      </c>
      <c r="G535" s="11" t="s">
        <v>2012</v>
      </c>
      <c r="H535" s="11" t="s">
        <v>1104</v>
      </c>
      <c r="I535" s="16" t="s">
        <v>1105</v>
      </c>
    </row>
    <row r="536" customFormat="false" ht="15" hidden="false" customHeight="false" outlineLevel="0" collapsed="false">
      <c r="A536" s="11" t="s">
        <v>846</v>
      </c>
      <c r="B536" s="11" t="s">
        <v>847</v>
      </c>
      <c r="C536" s="11" t="s">
        <v>849</v>
      </c>
      <c r="D536" s="14" t="s">
        <v>850</v>
      </c>
      <c r="E536" s="13" t="n">
        <v>69000</v>
      </c>
      <c r="F536" s="11" t="s">
        <v>1107</v>
      </c>
      <c r="G536" s="11" t="s">
        <v>2013</v>
      </c>
      <c r="H536" s="11" t="s">
        <v>1133</v>
      </c>
      <c r="I536" s="16" t="s">
        <v>1105</v>
      </c>
    </row>
    <row r="537" customFormat="false" ht="15" hidden="false" customHeight="false" outlineLevel="0" collapsed="false">
      <c r="A537" s="11" t="s">
        <v>851</v>
      </c>
      <c r="B537" s="11" t="s">
        <v>852</v>
      </c>
      <c r="C537" s="11" t="s">
        <v>854</v>
      </c>
      <c r="D537" s="14" t="s">
        <v>855</v>
      </c>
      <c r="E537" s="13" t="n">
        <v>14818.5</v>
      </c>
      <c r="F537" s="11" t="s">
        <v>1112</v>
      </c>
      <c r="G537" s="11" t="s">
        <v>1303</v>
      </c>
      <c r="H537" s="11" t="s">
        <v>1104</v>
      </c>
      <c r="I537" s="16" t="s">
        <v>1105</v>
      </c>
    </row>
    <row r="538" customFormat="false" ht="23.85" hidden="false" customHeight="false" outlineLevel="0" collapsed="false">
      <c r="A538" s="11" t="s">
        <v>856</v>
      </c>
      <c r="B538" s="11" t="s">
        <v>857</v>
      </c>
      <c r="C538" s="11" t="s">
        <v>859</v>
      </c>
      <c r="D538" s="14" t="s">
        <v>860</v>
      </c>
      <c r="E538" s="13" t="n">
        <v>144960</v>
      </c>
      <c r="F538" s="11" t="s">
        <v>1107</v>
      </c>
      <c r="G538" s="11" t="s">
        <v>2014</v>
      </c>
      <c r="H538" s="11" t="s">
        <v>1104</v>
      </c>
      <c r="I538" s="16" t="s">
        <v>1105</v>
      </c>
    </row>
    <row r="539" customFormat="false" ht="35.05" hidden="false" customHeight="false" outlineLevel="0" collapsed="false">
      <c r="A539" s="11" t="s">
        <v>861</v>
      </c>
      <c r="B539" s="11" t="s">
        <v>862</v>
      </c>
      <c r="C539" s="11" t="s">
        <v>164</v>
      </c>
      <c r="D539" s="14" t="s">
        <v>864</v>
      </c>
      <c r="E539" s="13" t="n">
        <v>8827.2</v>
      </c>
      <c r="F539" s="11" t="s">
        <v>1112</v>
      </c>
      <c r="G539" s="11" t="s">
        <v>2015</v>
      </c>
      <c r="H539" s="11" t="s">
        <v>1109</v>
      </c>
      <c r="I539" s="16" t="s">
        <v>1105</v>
      </c>
    </row>
    <row r="540" customFormat="false" ht="23.85" hidden="false" customHeight="false" outlineLevel="0" collapsed="false">
      <c r="A540" s="11" t="s">
        <v>865</v>
      </c>
      <c r="B540" s="11" t="s">
        <v>866</v>
      </c>
      <c r="C540" s="11" t="s">
        <v>868</v>
      </c>
      <c r="D540" s="14" t="s">
        <v>869</v>
      </c>
      <c r="E540" s="13" t="n">
        <v>74969.88</v>
      </c>
      <c r="F540" s="11" t="s">
        <v>1107</v>
      </c>
      <c r="G540" s="11" t="s">
        <v>2016</v>
      </c>
      <c r="H540" s="11" t="s">
        <v>1109</v>
      </c>
      <c r="I540" s="16" t="s">
        <v>1105</v>
      </c>
    </row>
    <row r="541" customFormat="false" ht="23.85" hidden="false" customHeight="false" outlineLevel="0" collapsed="false">
      <c r="A541" s="11" t="s">
        <v>870</v>
      </c>
      <c r="B541" s="11" t="s">
        <v>871</v>
      </c>
      <c r="C541" s="11" t="s">
        <v>873</v>
      </c>
      <c r="D541" s="14" t="s">
        <v>874</v>
      </c>
      <c r="E541" s="13" t="n">
        <v>64024.49</v>
      </c>
      <c r="F541" s="11" t="s">
        <v>1107</v>
      </c>
      <c r="G541" s="11" t="s">
        <v>2017</v>
      </c>
      <c r="H541" s="11" t="s">
        <v>1109</v>
      </c>
      <c r="I541" s="16" t="s">
        <v>1105</v>
      </c>
    </row>
    <row r="542" customFormat="false" ht="15" hidden="false" customHeight="false" outlineLevel="0" collapsed="false">
      <c r="A542" s="11" t="s">
        <v>875</v>
      </c>
      <c r="B542" s="11" t="s">
        <v>876</v>
      </c>
      <c r="C542" s="11" t="s">
        <v>122</v>
      </c>
      <c r="D542" s="14" t="s">
        <v>878</v>
      </c>
      <c r="E542" s="13" t="n">
        <v>9246</v>
      </c>
      <c r="F542" s="11" t="s">
        <v>1107</v>
      </c>
      <c r="G542" s="11" t="s">
        <v>2018</v>
      </c>
      <c r="H542" s="11" t="s">
        <v>1109</v>
      </c>
      <c r="I542" s="16" t="s">
        <v>1105</v>
      </c>
    </row>
    <row r="543" customFormat="false" ht="23.85" hidden="false" customHeight="false" outlineLevel="0" collapsed="false">
      <c r="A543" s="11" t="s">
        <v>879</v>
      </c>
      <c r="B543" s="11" t="s">
        <v>880</v>
      </c>
      <c r="C543" s="11" t="s">
        <v>132</v>
      </c>
      <c r="D543" s="14" t="s">
        <v>882</v>
      </c>
      <c r="E543" s="13" t="n">
        <v>17923.4</v>
      </c>
      <c r="F543" s="11" t="s">
        <v>1112</v>
      </c>
      <c r="G543" s="11" t="s">
        <v>2019</v>
      </c>
      <c r="H543" s="11" t="s">
        <v>1109</v>
      </c>
      <c r="I543" s="16" t="s">
        <v>1105</v>
      </c>
    </row>
    <row r="544" customFormat="false" ht="15" hidden="false" customHeight="false" outlineLevel="0" collapsed="false">
      <c r="A544" s="11" t="s">
        <v>883</v>
      </c>
      <c r="B544" s="11" t="s">
        <v>884</v>
      </c>
      <c r="C544" s="11" t="s">
        <v>886</v>
      </c>
      <c r="D544" s="14" t="s">
        <v>887</v>
      </c>
      <c r="E544" s="13" t="n">
        <v>74950</v>
      </c>
      <c r="F544" s="11" t="s">
        <v>1107</v>
      </c>
      <c r="G544" s="11" t="s">
        <v>2020</v>
      </c>
      <c r="H544" s="11" t="s">
        <v>1109</v>
      </c>
      <c r="I544" s="16" t="s">
        <v>1105</v>
      </c>
    </row>
    <row r="545" customFormat="false" ht="15" hidden="false" customHeight="false" outlineLevel="0" collapsed="false">
      <c r="A545" s="11" t="s">
        <v>888</v>
      </c>
      <c r="B545" s="11" t="s">
        <v>889</v>
      </c>
      <c r="C545" s="11" t="s">
        <v>461</v>
      </c>
      <c r="D545" s="14" t="s">
        <v>891</v>
      </c>
      <c r="E545" s="13" t="n">
        <v>1350</v>
      </c>
      <c r="F545" s="11" t="s">
        <v>1112</v>
      </c>
      <c r="G545" s="11" t="s">
        <v>2021</v>
      </c>
      <c r="H545" s="11" t="s">
        <v>1109</v>
      </c>
      <c r="I545" s="16" t="s">
        <v>1105</v>
      </c>
    </row>
    <row r="546" customFormat="false" ht="15" hidden="false" customHeight="false" outlineLevel="0" collapsed="false">
      <c r="A546" s="11" t="s">
        <v>892</v>
      </c>
      <c r="B546" s="11" t="s">
        <v>893</v>
      </c>
      <c r="C546" s="11" t="s">
        <v>461</v>
      </c>
      <c r="D546" s="14" t="s">
        <v>339</v>
      </c>
      <c r="E546" s="13" t="n">
        <v>8107.54</v>
      </c>
      <c r="F546" s="11" t="s">
        <v>1112</v>
      </c>
      <c r="G546" s="11" t="s">
        <v>1889</v>
      </c>
      <c r="H546" s="11" t="s">
        <v>1109</v>
      </c>
      <c r="I546" s="16" t="s">
        <v>1105</v>
      </c>
    </row>
    <row r="547" customFormat="false" ht="15" hidden="false" customHeight="false" outlineLevel="0" collapsed="false">
      <c r="A547" s="11" t="s">
        <v>895</v>
      </c>
      <c r="B547" s="11" t="s">
        <v>896</v>
      </c>
      <c r="C547" s="11" t="s">
        <v>236</v>
      </c>
      <c r="D547" s="14" t="s">
        <v>898</v>
      </c>
      <c r="E547" s="13" t="n">
        <v>5000</v>
      </c>
      <c r="F547" s="11" t="s">
        <v>1112</v>
      </c>
      <c r="G547" s="11" t="s">
        <v>2022</v>
      </c>
      <c r="H547" s="11" t="s">
        <v>1109</v>
      </c>
      <c r="I547" s="16" t="s">
        <v>1105</v>
      </c>
    </row>
    <row r="548" customFormat="false" ht="15" hidden="false" customHeight="false" outlineLevel="0" collapsed="false">
      <c r="A548" s="11" t="s">
        <v>899</v>
      </c>
      <c r="B548" s="11" t="s">
        <v>900</v>
      </c>
      <c r="C548" s="11" t="s">
        <v>902</v>
      </c>
      <c r="D548" s="14" t="s">
        <v>903</v>
      </c>
      <c r="E548" s="13" t="n">
        <v>14855.2</v>
      </c>
      <c r="F548" s="11" t="s">
        <v>1107</v>
      </c>
      <c r="G548" s="11" t="s">
        <v>2023</v>
      </c>
      <c r="H548" s="11" t="s">
        <v>1109</v>
      </c>
      <c r="I548" s="16" t="s">
        <v>1105</v>
      </c>
    </row>
    <row r="549" customFormat="false" ht="15" hidden="false" customHeight="false" outlineLevel="0" collapsed="false">
      <c r="A549" s="11" t="s">
        <v>904</v>
      </c>
      <c r="B549" s="11" t="s">
        <v>905</v>
      </c>
      <c r="C549" s="11" t="s">
        <v>395</v>
      </c>
      <c r="D549" s="14" t="s">
        <v>907</v>
      </c>
      <c r="E549" s="13" t="n">
        <v>2090</v>
      </c>
      <c r="F549" s="11" t="s">
        <v>1112</v>
      </c>
      <c r="G549" s="11" t="s">
        <v>2024</v>
      </c>
      <c r="H549" s="11" t="s">
        <v>1109</v>
      </c>
      <c r="I549" s="16" t="s">
        <v>1105</v>
      </c>
    </row>
    <row r="550" customFormat="false" ht="23.85" hidden="false" customHeight="false" outlineLevel="0" collapsed="false">
      <c r="A550" s="11" t="s">
        <v>908</v>
      </c>
      <c r="B550" s="11" t="s">
        <v>909</v>
      </c>
      <c r="C550" s="11" t="s">
        <v>772</v>
      </c>
      <c r="D550" s="14" t="s">
        <v>911</v>
      </c>
      <c r="E550" s="13" t="n">
        <v>13222</v>
      </c>
      <c r="F550" s="11" t="s">
        <v>1107</v>
      </c>
      <c r="G550" s="11" t="s">
        <v>2025</v>
      </c>
      <c r="H550" s="11" t="s">
        <v>1109</v>
      </c>
      <c r="I550" s="16" t="s">
        <v>1105</v>
      </c>
    </row>
    <row r="551" customFormat="false" ht="23.85" hidden="false" customHeight="false" outlineLevel="0" collapsed="false">
      <c r="A551" s="11" t="s">
        <v>912</v>
      </c>
      <c r="B551" s="11" t="s">
        <v>913</v>
      </c>
      <c r="C551" s="11" t="s">
        <v>915</v>
      </c>
      <c r="D551" s="14" t="s">
        <v>916</v>
      </c>
      <c r="E551" s="13" t="n">
        <v>5400</v>
      </c>
      <c r="F551" s="11" t="s">
        <v>1112</v>
      </c>
      <c r="G551" s="11" t="s">
        <v>2026</v>
      </c>
      <c r="H551" s="11" t="s">
        <v>1109</v>
      </c>
      <c r="I551" s="16" t="s">
        <v>1105</v>
      </c>
    </row>
    <row r="552" customFormat="false" ht="15" hidden="false" customHeight="false" outlineLevel="0" collapsed="false">
      <c r="A552" s="11" t="s">
        <v>917</v>
      </c>
      <c r="B552" s="11" t="s">
        <v>918</v>
      </c>
      <c r="C552" s="11" t="s">
        <v>920</v>
      </c>
      <c r="D552" s="14" t="s">
        <v>921</v>
      </c>
      <c r="E552" s="13" t="n">
        <v>5000</v>
      </c>
      <c r="F552" s="11" t="s">
        <v>1107</v>
      </c>
      <c r="G552" s="11" t="s">
        <v>1740</v>
      </c>
      <c r="H552" s="11" t="s">
        <v>1109</v>
      </c>
      <c r="I552" s="16" t="s">
        <v>1105</v>
      </c>
    </row>
    <row r="553" customFormat="false" ht="23.85" hidden="false" customHeight="false" outlineLevel="0" collapsed="false">
      <c r="A553" s="11" t="s">
        <v>922</v>
      </c>
      <c r="B553" s="11" t="s">
        <v>923</v>
      </c>
      <c r="C553" s="11" t="s">
        <v>925</v>
      </c>
      <c r="D553" s="14" t="s">
        <v>926</v>
      </c>
      <c r="E553" s="13" t="n">
        <v>25946.92</v>
      </c>
      <c r="F553" s="11" t="s">
        <v>1107</v>
      </c>
      <c r="G553" s="11" t="s">
        <v>2027</v>
      </c>
      <c r="H553" s="11" t="s">
        <v>1109</v>
      </c>
      <c r="I553" s="16" t="s">
        <v>1105</v>
      </c>
    </row>
    <row r="554" customFormat="false" ht="23.85" hidden="false" customHeight="false" outlineLevel="0" collapsed="false">
      <c r="A554" s="11" t="s">
        <v>927</v>
      </c>
      <c r="B554" s="11" t="s">
        <v>928</v>
      </c>
      <c r="C554" s="11" t="s">
        <v>433</v>
      </c>
      <c r="D554" s="14" t="s">
        <v>930</v>
      </c>
      <c r="E554" s="13" t="n">
        <v>5150</v>
      </c>
      <c r="F554" s="11" t="s">
        <v>1112</v>
      </c>
      <c r="G554" s="11" t="s">
        <v>2028</v>
      </c>
      <c r="H554" s="11" t="s">
        <v>1109</v>
      </c>
      <c r="I554" s="16" t="s">
        <v>1105</v>
      </c>
    </row>
    <row r="555" customFormat="false" ht="15" hidden="false" customHeight="false" outlineLevel="0" collapsed="false">
      <c r="A555" s="11" t="s">
        <v>931</v>
      </c>
      <c r="B555" s="11" t="s">
        <v>932</v>
      </c>
      <c r="C555" s="11" t="s">
        <v>490</v>
      </c>
      <c r="D555" s="14" t="s">
        <v>934</v>
      </c>
      <c r="E555" s="13" t="n">
        <v>7149.2</v>
      </c>
      <c r="F555" s="11" t="s">
        <v>1107</v>
      </c>
      <c r="G555" s="11" t="s">
        <v>1488</v>
      </c>
      <c r="H555" s="11" t="s">
        <v>1109</v>
      </c>
      <c r="I555" s="16" t="s">
        <v>1105</v>
      </c>
    </row>
    <row r="556" customFormat="false" ht="15" hidden="false" customHeight="false" outlineLevel="0" collapsed="false">
      <c r="A556" s="11" t="s">
        <v>935</v>
      </c>
      <c r="B556" s="11" t="s">
        <v>936</v>
      </c>
      <c r="C556" s="11" t="s">
        <v>596</v>
      </c>
      <c r="D556" s="14" t="s">
        <v>938</v>
      </c>
      <c r="E556" s="13" t="n">
        <v>4423.44</v>
      </c>
      <c r="F556" s="11" t="s">
        <v>2029</v>
      </c>
      <c r="G556" s="11" t="s">
        <v>2030</v>
      </c>
      <c r="H556" s="11" t="s">
        <v>1109</v>
      </c>
      <c r="I556" s="16" t="s">
        <v>1105</v>
      </c>
    </row>
    <row r="557" customFormat="false" ht="15" hidden="false" customHeight="false" outlineLevel="0" collapsed="false">
      <c r="A557" s="11" t="s">
        <v>939</v>
      </c>
      <c r="B557" s="11" t="s">
        <v>940</v>
      </c>
      <c r="C557" s="11" t="s">
        <v>942</v>
      </c>
      <c r="D557" s="14" t="s">
        <v>943</v>
      </c>
      <c r="E557" s="13" t="n">
        <v>3249.6</v>
      </c>
      <c r="F557" s="11" t="s">
        <v>1112</v>
      </c>
      <c r="G557" s="11" t="s">
        <v>2031</v>
      </c>
      <c r="H557" s="11" t="s">
        <v>1109</v>
      </c>
      <c r="I557" s="16" t="s">
        <v>1105</v>
      </c>
    </row>
    <row r="558" customFormat="false" ht="23.85" hidden="false" customHeight="false" outlineLevel="0" collapsed="false">
      <c r="A558" s="11" t="s">
        <v>944</v>
      </c>
      <c r="B558" s="11" t="s">
        <v>945</v>
      </c>
      <c r="C558" s="11" t="s">
        <v>635</v>
      </c>
      <c r="D558" s="14" t="s">
        <v>946</v>
      </c>
      <c r="E558" s="13" t="n">
        <v>47000</v>
      </c>
      <c r="F558" s="11" t="s">
        <v>1107</v>
      </c>
      <c r="G558" s="11" t="s">
        <v>1896</v>
      </c>
      <c r="H558" s="11" t="s">
        <v>1146</v>
      </c>
      <c r="I558" s="16" t="s">
        <v>1105</v>
      </c>
    </row>
    <row r="559" customFormat="false" ht="23.85" hidden="false" customHeight="false" outlineLevel="0" collapsed="false">
      <c r="A559" s="11" t="s">
        <v>947</v>
      </c>
      <c r="B559" s="11" t="s">
        <v>948</v>
      </c>
      <c r="C559" s="11" t="s">
        <v>950</v>
      </c>
      <c r="D559" s="14" t="s">
        <v>951</v>
      </c>
      <c r="E559" s="13" t="n">
        <v>36000</v>
      </c>
      <c r="F559" s="11" t="s">
        <v>1107</v>
      </c>
      <c r="G559" s="11" t="s">
        <v>2032</v>
      </c>
      <c r="H559" s="11" t="s">
        <v>1146</v>
      </c>
      <c r="I559" s="16" t="s">
        <v>1105</v>
      </c>
    </row>
    <row r="560" customFormat="false" ht="23.85" hidden="false" customHeight="false" outlineLevel="0" collapsed="false">
      <c r="A560" s="11" t="s">
        <v>952</v>
      </c>
      <c r="B560" s="11" t="s">
        <v>953</v>
      </c>
      <c r="C560" s="11" t="s">
        <v>950</v>
      </c>
      <c r="D560" s="14" t="s">
        <v>954</v>
      </c>
      <c r="E560" s="13" t="n">
        <v>72000</v>
      </c>
      <c r="F560" s="11" t="s">
        <v>1107</v>
      </c>
      <c r="G560" s="11" t="s">
        <v>1896</v>
      </c>
      <c r="H560" s="11" t="s">
        <v>1146</v>
      </c>
      <c r="I560" s="16" t="s">
        <v>1105</v>
      </c>
    </row>
    <row r="561" customFormat="false" ht="23.85" hidden="false" customHeight="false" outlineLevel="0" collapsed="false">
      <c r="A561" s="11" t="s">
        <v>955</v>
      </c>
      <c r="B561" s="11" t="s">
        <v>956</v>
      </c>
      <c r="C561" s="11" t="s">
        <v>958</v>
      </c>
      <c r="D561" s="14" t="s">
        <v>959</v>
      </c>
      <c r="E561" s="13" t="n">
        <v>79542</v>
      </c>
      <c r="F561" s="11" t="s">
        <v>1107</v>
      </c>
      <c r="G561" s="11" t="s">
        <v>1145</v>
      </c>
      <c r="H561" s="11" t="s">
        <v>1146</v>
      </c>
      <c r="I561" s="16" t="s">
        <v>1105</v>
      </c>
    </row>
    <row r="562" customFormat="false" ht="23.85" hidden="false" customHeight="false" outlineLevel="0" collapsed="false">
      <c r="A562" s="11" t="s">
        <v>960</v>
      </c>
      <c r="B562" s="11" t="s">
        <v>961</v>
      </c>
      <c r="C562" s="11" t="s">
        <v>963</v>
      </c>
      <c r="D562" s="14" t="s">
        <v>964</v>
      </c>
      <c r="E562" s="13" t="n">
        <v>6490</v>
      </c>
      <c r="F562" s="11" t="s">
        <v>1107</v>
      </c>
      <c r="G562" s="11" t="s">
        <v>2033</v>
      </c>
      <c r="H562" s="11" t="s">
        <v>1146</v>
      </c>
      <c r="I562" s="16" t="s">
        <v>1105</v>
      </c>
    </row>
    <row r="563" customFormat="false" ht="23.85" hidden="false" customHeight="false" outlineLevel="0" collapsed="false">
      <c r="A563" s="11" t="s">
        <v>965</v>
      </c>
      <c r="B563" s="11" t="s">
        <v>966</v>
      </c>
      <c r="C563" s="11" t="s">
        <v>968</v>
      </c>
      <c r="D563" s="14" t="s">
        <v>969</v>
      </c>
      <c r="E563" s="13" t="n">
        <v>7000</v>
      </c>
      <c r="F563" s="11" t="s">
        <v>1112</v>
      </c>
      <c r="G563" s="11" t="s">
        <v>1784</v>
      </c>
      <c r="H563" s="11" t="s">
        <v>1146</v>
      </c>
      <c r="I563" s="16" t="s">
        <v>1105</v>
      </c>
    </row>
    <row r="564" customFormat="false" ht="23.85" hidden="false" customHeight="false" outlineLevel="0" collapsed="false">
      <c r="A564" s="11" t="s">
        <v>970</v>
      </c>
      <c r="B564" s="11" t="s">
        <v>971</v>
      </c>
      <c r="C564" s="11" t="s">
        <v>973</v>
      </c>
      <c r="D564" s="14" t="s">
        <v>974</v>
      </c>
      <c r="E564" s="13" t="n">
        <v>19650</v>
      </c>
      <c r="F564" s="11" t="s">
        <v>1107</v>
      </c>
      <c r="G564" s="11" t="s">
        <v>2034</v>
      </c>
      <c r="H564" s="11" t="s">
        <v>1146</v>
      </c>
      <c r="I564" s="16" t="s">
        <v>1105</v>
      </c>
    </row>
    <row r="565" customFormat="false" ht="23.85" hidden="false" customHeight="false" outlineLevel="0" collapsed="false">
      <c r="A565" s="11" t="s">
        <v>975</v>
      </c>
      <c r="B565" s="11" t="s">
        <v>976</v>
      </c>
      <c r="C565" s="11" t="s">
        <v>977</v>
      </c>
      <c r="D565" s="14" t="s">
        <v>978</v>
      </c>
      <c r="E565" s="13" t="n">
        <v>19250</v>
      </c>
      <c r="F565" s="11" t="s">
        <v>1112</v>
      </c>
      <c r="G565" s="11" t="s">
        <v>1982</v>
      </c>
      <c r="H565" s="11" t="s">
        <v>1146</v>
      </c>
      <c r="I565" s="16" t="s">
        <v>1105</v>
      </c>
    </row>
    <row r="566" customFormat="false" ht="23.85" hidden="false" customHeight="false" outlineLevel="0" collapsed="false">
      <c r="A566" s="11" t="s">
        <v>979</v>
      </c>
      <c r="B566" s="11" t="s">
        <v>980</v>
      </c>
      <c r="C566" s="11" t="s">
        <v>982</v>
      </c>
      <c r="D566" s="14" t="s">
        <v>983</v>
      </c>
      <c r="E566" s="13" t="n">
        <v>18974</v>
      </c>
      <c r="F566" s="11" t="s">
        <v>1112</v>
      </c>
      <c r="G566" s="11" t="s">
        <v>2035</v>
      </c>
      <c r="H566" s="11" t="s">
        <v>1146</v>
      </c>
      <c r="I566" s="16" t="s">
        <v>1105</v>
      </c>
    </row>
    <row r="567" customFormat="false" ht="23.85" hidden="false" customHeight="false" outlineLevel="0" collapsed="false">
      <c r="A567" s="11" t="s">
        <v>984</v>
      </c>
      <c r="B567" s="11" t="s">
        <v>985</v>
      </c>
      <c r="C567" s="11" t="s">
        <v>987</v>
      </c>
      <c r="D567" s="14" t="s">
        <v>988</v>
      </c>
      <c r="E567" s="13" t="n">
        <v>35000</v>
      </c>
      <c r="F567" s="11" t="s">
        <v>1107</v>
      </c>
      <c r="G567" s="11" t="s">
        <v>2036</v>
      </c>
      <c r="H567" s="11" t="s">
        <v>1146</v>
      </c>
      <c r="I567" s="16" t="s">
        <v>1105</v>
      </c>
    </row>
    <row r="568" customFormat="false" ht="23.85" hidden="false" customHeight="false" outlineLevel="0" collapsed="false">
      <c r="A568" s="11" t="s">
        <v>989</v>
      </c>
      <c r="B568" s="11" t="s">
        <v>990</v>
      </c>
      <c r="C568" s="11" t="s">
        <v>992</v>
      </c>
      <c r="D568" s="14" t="s">
        <v>993</v>
      </c>
      <c r="E568" s="13" t="n">
        <v>12400</v>
      </c>
      <c r="F568" s="11" t="s">
        <v>1112</v>
      </c>
      <c r="G568" s="11" t="s">
        <v>2037</v>
      </c>
      <c r="H568" s="11" t="s">
        <v>1146</v>
      </c>
      <c r="I568" s="16" t="s">
        <v>1105</v>
      </c>
    </row>
    <row r="569" customFormat="false" ht="23.85" hidden="false" customHeight="false" outlineLevel="0" collapsed="false">
      <c r="A569" s="11" t="s">
        <v>994</v>
      </c>
      <c r="B569" s="11" t="s">
        <v>995</v>
      </c>
      <c r="C569" s="11" t="s">
        <v>717</v>
      </c>
      <c r="D569" s="14" t="s">
        <v>997</v>
      </c>
      <c r="E569" s="13" t="n">
        <v>17500</v>
      </c>
      <c r="F569" s="11" t="s">
        <v>1112</v>
      </c>
      <c r="G569" s="11" t="s">
        <v>2038</v>
      </c>
      <c r="H569" s="11" t="s">
        <v>1146</v>
      </c>
      <c r="I569" s="16" t="s">
        <v>1105</v>
      </c>
    </row>
    <row r="570" customFormat="false" ht="23.85" hidden="false" customHeight="false" outlineLevel="0" collapsed="false">
      <c r="A570" s="11" t="s">
        <v>998</v>
      </c>
      <c r="B570" s="11" t="s">
        <v>999</v>
      </c>
      <c r="C570" s="11" t="s">
        <v>1001</v>
      </c>
      <c r="D570" s="14" t="s">
        <v>1002</v>
      </c>
      <c r="E570" s="13" t="n">
        <v>1500</v>
      </c>
      <c r="F570" s="11" t="s">
        <v>1112</v>
      </c>
      <c r="G570" s="11" t="s">
        <v>2039</v>
      </c>
      <c r="H570" s="11" t="s">
        <v>1146</v>
      </c>
      <c r="I570" s="16" t="s">
        <v>1105</v>
      </c>
    </row>
    <row r="571" customFormat="false" ht="23.85" hidden="false" customHeight="false" outlineLevel="0" collapsed="false">
      <c r="A571" s="11" t="s">
        <v>1003</v>
      </c>
      <c r="B571" s="11" t="s">
        <v>1004</v>
      </c>
      <c r="C571" s="11" t="s">
        <v>1006</v>
      </c>
      <c r="D571" s="14" t="s">
        <v>1007</v>
      </c>
      <c r="E571" s="13" t="n">
        <v>51849.9</v>
      </c>
      <c r="F571" s="11" t="s">
        <v>1107</v>
      </c>
      <c r="G571" s="11" t="s">
        <v>2040</v>
      </c>
      <c r="H571" s="11" t="s">
        <v>1104</v>
      </c>
      <c r="I571" s="16" t="s">
        <v>1105</v>
      </c>
    </row>
    <row r="572" customFormat="false" ht="23.85" hidden="false" customHeight="false" outlineLevel="0" collapsed="false">
      <c r="A572" s="11" t="s">
        <v>1003</v>
      </c>
      <c r="B572" s="11" t="s">
        <v>1004</v>
      </c>
      <c r="C572" s="11" t="s">
        <v>2041</v>
      </c>
      <c r="D572" s="14" t="s">
        <v>2042</v>
      </c>
      <c r="E572" s="13" t="n">
        <v>12988.8</v>
      </c>
      <c r="F572" s="11" t="s">
        <v>1102</v>
      </c>
      <c r="G572" s="11" t="s">
        <v>2043</v>
      </c>
      <c r="H572" s="11" t="s">
        <v>1146</v>
      </c>
      <c r="I572" s="16" t="s">
        <v>1105</v>
      </c>
    </row>
    <row r="573" customFormat="false" ht="23.85" hidden="false" customHeight="false" outlineLevel="0" collapsed="false">
      <c r="A573" s="11" t="s">
        <v>1003</v>
      </c>
      <c r="B573" s="11" t="s">
        <v>1004</v>
      </c>
      <c r="C573" s="11" t="s">
        <v>2041</v>
      </c>
      <c r="D573" s="14" t="s">
        <v>2044</v>
      </c>
      <c r="E573" s="13" t="n">
        <v>12988.8</v>
      </c>
      <c r="F573" s="11" t="s">
        <v>1102</v>
      </c>
      <c r="G573" s="11" t="s">
        <v>2043</v>
      </c>
      <c r="H573" s="11" t="s">
        <v>1146</v>
      </c>
      <c r="I573" s="16" t="s">
        <v>1105</v>
      </c>
    </row>
    <row r="574" customFormat="false" ht="23.85" hidden="false" customHeight="false" outlineLevel="0" collapsed="false">
      <c r="A574" s="11" t="s">
        <v>1003</v>
      </c>
      <c r="B574" s="11" t="s">
        <v>1004</v>
      </c>
      <c r="C574" s="11" t="s">
        <v>2041</v>
      </c>
      <c r="D574" s="14" t="s">
        <v>2045</v>
      </c>
      <c r="E574" s="13" t="n">
        <v>12988.8</v>
      </c>
      <c r="F574" s="11" t="s">
        <v>1102</v>
      </c>
      <c r="G574" s="11" t="s">
        <v>2043</v>
      </c>
      <c r="H574" s="11" t="s">
        <v>1146</v>
      </c>
      <c r="I574" s="16" t="s">
        <v>1105</v>
      </c>
    </row>
    <row r="575" customFormat="false" ht="23.85" hidden="false" customHeight="false" outlineLevel="0" collapsed="false">
      <c r="A575" s="11" t="s">
        <v>1008</v>
      </c>
      <c r="B575" s="11" t="s">
        <v>1009</v>
      </c>
      <c r="C575" s="11" t="s">
        <v>400</v>
      </c>
      <c r="D575" s="14" t="s">
        <v>1011</v>
      </c>
      <c r="E575" s="13" t="n">
        <v>5900</v>
      </c>
      <c r="F575" s="11" t="s">
        <v>1112</v>
      </c>
      <c r="G575" s="11" t="s">
        <v>2046</v>
      </c>
      <c r="H575" s="11" t="s">
        <v>1146</v>
      </c>
      <c r="I575" s="16" t="s">
        <v>1105</v>
      </c>
    </row>
    <row r="576" customFormat="false" ht="23.85" hidden="false" customHeight="false" outlineLevel="0" collapsed="false">
      <c r="A576" s="11" t="s">
        <v>1012</v>
      </c>
      <c r="B576" s="11" t="s">
        <v>1013</v>
      </c>
      <c r="C576" s="11" t="s">
        <v>1015</v>
      </c>
      <c r="D576" s="14" t="s">
        <v>1016</v>
      </c>
      <c r="E576" s="13" t="n">
        <v>19950</v>
      </c>
      <c r="F576" s="11" t="s">
        <v>1112</v>
      </c>
      <c r="G576" s="11" t="s">
        <v>2047</v>
      </c>
      <c r="H576" s="11" t="s">
        <v>1146</v>
      </c>
      <c r="I576" s="16" t="s">
        <v>1105</v>
      </c>
    </row>
    <row r="577" customFormat="false" ht="23.85" hidden="false" customHeight="false" outlineLevel="0" collapsed="false">
      <c r="A577" s="11" t="s">
        <v>1017</v>
      </c>
      <c r="B577" s="11" t="s">
        <v>1018</v>
      </c>
      <c r="C577" s="11" t="s">
        <v>1015</v>
      </c>
      <c r="D577" s="14" t="s">
        <v>1020</v>
      </c>
      <c r="E577" s="13" t="n">
        <v>22500</v>
      </c>
      <c r="F577" s="11" t="s">
        <v>1107</v>
      </c>
      <c r="G577" s="11" t="s">
        <v>2048</v>
      </c>
      <c r="H577" s="11" t="s">
        <v>1146</v>
      </c>
      <c r="I577" s="16" t="s">
        <v>1105</v>
      </c>
    </row>
    <row r="578" customFormat="false" ht="23.85" hidden="false" customHeight="false" outlineLevel="0" collapsed="false">
      <c r="A578" s="11" t="s">
        <v>1021</v>
      </c>
      <c r="B578" s="11" t="s">
        <v>1022</v>
      </c>
      <c r="C578" s="11" t="s">
        <v>1015</v>
      </c>
      <c r="D578" s="14" t="s">
        <v>1024</v>
      </c>
      <c r="E578" s="13" t="n">
        <v>16700</v>
      </c>
      <c r="F578" s="11" t="s">
        <v>1107</v>
      </c>
      <c r="G578" s="11" t="s">
        <v>2049</v>
      </c>
      <c r="H578" s="11" t="s">
        <v>1146</v>
      </c>
      <c r="I578" s="16" t="s">
        <v>1105</v>
      </c>
    </row>
    <row r="579" customFormat="false" ht="23.85" hidden="false" customHeight="false" outlineLevel="0" collapsed="false">
      <c r="A579" s="11" t="s">
        <v>1025</v>
      </c>
      <c r="B579" s="11" t="s">
        <v>1026</v>
      </c>
      <c r="C579" s="11" t="s">
        <v>1028</v>
      </c>
      <c r="D579" s="14" t="s">
        <v>1029</v>
      </c>
      <c r="E579" s="13" t="n">
        <v>0</v>
      </c>
      <c r="F579" s="11" t="s">
        <v>1112</v>
      </c>
      <c r="G579" s="11" t="s">
        <v>2050</v>
      </c>
      <c r="H579" s="11" t="s">
        <v>1146</v>
      </c>
      <c r="I579" s="16" t="s">
        <v>1105</v>
      </c>
    </row>
    <row r="580" customFormat="false" ht="23.85" hidden="false" customHeight="false" outlineLevel="0" collapsed="false">
      <c r="A580" s="11" t="s">
        <v>1030</v>
      </c>
      <c r="B580" s="11" t="s">
        <v>1031</v>
      </c>
      <c r="C580" s="11" t="s">
        <v>635</v>
      </c>
      <c r="D580" s="14" t="s">
        <v>1033</v>
      </c>
      <c r="E580" s="13" t="n">
        <v>2000</v>
      </c>
      <c r="F580" s="11" t="s">
        <v>1112</v>
      </c>
      <c r="G580" s="11" t="s">
        <v>2051</v>
      </c>
      <c r="H580" s="11" t="s">
        <v>1109</v>
      </c>
      <c r="I580" s="16" t="s">
        <v>1105</v>
      </c>
    </row>
    <row r="581" customFormat="false" ht="15" hidden="false" customHeight="false" outlineLevel="0" collapsed="false">
      <c r="A581" s="11" t="s">
        <v>1034</v>
      </c>
      <c r="B581" s="11" t="s">
        <v>1035</v>
      </c>
      <c r="C581" s="11" t="s">
        <v>950</v>
      </c>
      <c r="D581" s="14" t="s">
        <v>1037</v>
      </c>
      <c r="E581" s="13" t="n">
        <v>37992.5</v>
      </c>
      <c r="F581" s="11" t="s">
        <v>1107</v>
      </c>
      <c r="G581" s="11" t="s">
        <v>2052</v>
      </c>
      <c r="H581" s="11" t="s">
        <v>1109</v>
      </c>
      <c r="I581" s="16" t="s">
        <v>1105</v>
      </c>
    </row>
    <row r="582" customFormat="false" ht="23.85" hidden="false" customHeight="false" outlineLevel="0" collapsed="false">
      <c r="A582" s="11" t="s">
        <v>1038</v>
      </c>
      <c r="B582" s="11" t="s">
        <v>1039</v>
      </c>
      <c r="C582" s="11" t="s">
        <v>1041</v>
      </c>
      <c r="D582" s="14" t="s">
        <v>1042</v>
      </c>
      <c r="E582" s="13" t="n">
        <v>19498</v>
      </c>
      <c r="F582" s="11" t="s">
        <v>1112</v>
      </c>
      <c r="G582" s="11" t="s">
        <v>2053</v>
      </c>
      <c r="H582" s="11" t="s">
        <v>1109</v>
      </c>
      <c r="I582" s="16" t="s">
        <v>1105</v>
      </c>
    </row>
    <row r="583" customFormat="false" ht="23.85" hidden="false" customHeight="false" outlineLevel="0" collapsed="false">
      <c r="A583" s="11" t="s">
        <v>1043</v>
      </c>
      <c r="B583" s="11" t="s">
        <v>1044</v>
      </c>
      <c r="C583" s="11" t="s">
        <v>1046</v>
      </c>
      <c r="D583" s="14" t="s">
        <v>1047</v>
      </c>
      <c r="E583" s="13" t="n">
        <v>2520</v>
      </c>
      <c r="F583" s="11" t="s">
        <v>1112</v>
      </c>
      <c r="G583" s="11" t="s">
        <v>1989</v>
      </c>
      <c r="H583" s="11" t="s">
        <v>1109</v>
      </c>
      <c r="I583" s="16" t="s">
        <v>1105</v>
      </c>
    </row>
    <row r="584" customFormat="false" ht="23.85" hidden="false" customHeight="false" outlineLevel="0" collapsed="false">
      <c r="A584" s="11" t="s">
        <v>1048</v>
      </c>
      <c r="B584" s="11" t="s">
        <v>1049</v>
      </c>
      <c r="C584" s="11" t="s">
        <v>958</v>
      </c>
      <c r="D584" s="14" t="s">
        <v>1051</v>
      </c>
      <c r="E584" s="13" t="n">
        <v>4168</v>
      </c>
      <c r="F584" s="11" t="s">
        <v>1107</v>
      </c>
      <c r="G584" s="11" t="s">
        <v>2054</v>
      </c>
      <c r="H584" s="11" t="s">
        <v>1109</v>
      </c>
      <c r="I584" s="16" t="s">
        <v>1105</v>
      </c>
    </row>
    <row r="585" customFormat="false" ht="23.85" hidden="false" customHeight="false" outlineLevel="0" collapsed="false">
      <c r="A585" s="11" t="s">
        <v>1052</v>
      </c>
      <c r="B585" s="11" t="s">
        <v>1053</v>
      </c>
      <c r="C585" s="11" t="s">
        <v>1055</v>
      </c>
      <c r="D585" s="14" t="s">
        <v>1056</v>
      </c>
      <c r="E585" s="13" t="n">
        <v>13500</v>
      </c>
      <c r="F585" s="11" t="s">
        <v>1112</v>
      </c>
      <c r="G585" s="11" t="s">
        <v>2055</v>
      </c>
      <c r="H585" s="11" t="s">
        <v>1109</v>
      </c>
      <c r="I585" s="16" t="s">
        <v>1105</v>
      </c>
    </row>
    <row r="586" customFormat="false" ht="15" hidden="false" customHeight="false" outlineLevel="0" collapsed="false">
      <c r="A586" s="11" t="s">
        <v>1057</v>
      </c>
      <c r="B586" s="11" t="s">
        <v>1058</v>
      </c>
      <c r="C586" s="11" t="s">
        <v>1060</v>
      </c>
      <c r="D586" s="14" t="s">
        <v>1061</v>
      </c>
      <c r="E586" s="13" t="n">
        <v>43975</v>
      </c>
      <c r="F586" s="11" t="s">
        <v>1107</v>
      </c>
      <c r="G586" s="11" t="s">
        <v>2056</v>
      </c>
      <c r="H586" s="11" t="s">
        <v>1109</v>
      </c>
      <c r="I586" s="16" t="s">
        <v>1105</v>
      </c>
    </row>
    <row r="587" customFormat="false" ht="15" hidden="false" customHeight="false" outlineLevel="0" collapsed="false">
      <c r="A587" s="11" t="s">
        <v>1062</v>
      </c>
      <c r="B587" s="11" t="s">
        <v>1063</v>
      </c>
      <c r="C587" s="11" t="s">
        <v>1065</v>
      </c>
      <c r="D587" s="14" t="s">
        <v>1066</v>
      </c>
      <c r="E587" s="13" t="n">
        <v>1206.3</v>
      </c>
      <c r="F587" s="11" t="s">
        <v>1112</v>
      </c>
      <c r="G587" s="11" t="s">
        <v>1554</v>
      </c>
      <c r="H587" s="11" t="s">
        <v>1109</v>
      </c>
      <c r="I587" s="16" t="s">
        <v>1105</v>
      </c>
    </row>
    <row r="588" customFormat="false" ht="15" hidden="false" customHeight="false" outlineLevel="0" collapsed="false">
      <c r="A588" s="11" t="s">
        <v>1067</v>
      </c>
      <c r="B588" s="11" t="s">
        <v>1068</v>
      </c>
      <c r="C588" s="11" t="s">
        <v>1070</v>
      </c>
      <c r="D588" s="14" t="s">
        <v>1071</v>
      </c>
      <c r="E588" s="13" t="n">
        <v>16260</v>
      </c>
      <c r="F588" s="11" t="s">
        <v>1107</v>
      </c>
      <c r="G588" s="11" t="s">
        <v>1741</v>
      </c>
      <c r="H588" s="11" t="s">
        <v>1109</v>
      </c>
      <c r="I588" s="16" t="s">
        <v>1105</v>
      </c>
    </row>
    <row r="589" customFormat="false" ht="23.85" hidden="false" customHeight="false" outlineLevel="0" collapsed="false">
      <c r="A589" s="11" t="s">
        <v>1072</v>
      </c>
      <c r="B589" s="11" t="s">
        <v>1073</v>
      </c>
      <c r="C589" s="11" t="s">
        <v>1075</v>
      </c>
      <c r="D589" s="14" t="s">
        <v>1076</v>
      </c>
      <c r="E589" s="13" t="n">
        <v>6750</v>
      </c>
      <c r="F589" s="11" t="s">
        <v>1112</v>
      </c>
      <c r="G589" s="11" t="s">
        <v>2057</v>
      </c>
      <c r="H589" s="11" t="s">
        <v>1109</v>
      </c>
      <c r="I589" s="16" t="s">
        <v>1105</v>
      </c>
    </row>
    <row r="590" customFormat="false" ht="15" hidden="false" customHeight="false" outlineLevel="0" collapsed="false">
      <c r="A590" s="11" t="s">
        <v>1077</v>
      </c>
      <c r="B590" s="11" t="s">
        <v>1078</v>
      </c>
      <c r="C590" s="11" t="s">
        <v>1079</v>
      </c>
      <c r="D590" s="14" t="s">
        <v>1080</v>
      </c>
      <c r="E590" s="13" t="n">
        <v>10904.22</v>
      </c>
      <c r="F590" s="11" t="s">
        <v>1112</v>
      </c>
      <c r="G590" s="11" t="s">
        <v>2054</v>
      </c>
      <c r="H590" s="11" t="s">
        <v>1109</v>
      </c>
      <c r="I590" s="16" t="s">
        <v>1105</v>
      </c>
    </row>
    <row r="591" customFormat="false" ht="23.85" hidden="false" customHeight="false" outlineLevel="0" collapsed="false">
      <c r="A591" s="11" t="s">
        <v>1081</v>
      </c>
      <c r="B591" s="11" t="s">
        <v>1082</v>
      </c>
      <c r="C591" s="11" t="s">
        <v>1084</v>
      </c>
      <c r="D591" s="14" t="s">
        <v>1085</v>
      </c>
      <c r="E591" s="13" t="n">
        <v>17343</v>
      </c>
      <c r="F591" s="11" t="s">
        <v>1112</v>
      </c>
      <c r="G591" s="11" t="s">
        <v>2058</v>
      </c>
      <c r="H591" s="11" t="s">
        <v>1109</v>
      </c>
      <c r="I591" s="16" t="s">
        <v>1105</v>
      </c>
    </row>
    <row r="592" customFormat="false" ht="15" hidden="false" customHeight="false" outlineLevel="0" collapsed="false">
      <c r="A592" s="11" t="s">
        <v>1086</v>
      </c>
      <c r="B592" s="11" t="s">
        <v>1087</v>
      </c>
      <c r="C592" s="11" t="s">
        <v>1089</v>
      </c>
      <c r="D592" s="14" t="s">
        <v>1090</v>
      </c>
      <c r="E592" s="13" t="n">
        <v>12926.4</v>
      </c>
      <c r="F592" s="11" t="s">
        <v>1107</v>
      </c>
      <c r="G592" s="11" t="s">
        <v>2059</v>
      </c>
      <c r="H592" s="11" t="s">
        <v>1109</v>
      </c>
      <c r="I592" s="16" t="s">
        <v>1105</v>
      </c>
    </row>
    <row r="593" customFormat="false" ht="23.85" hidden="false" customHeight="false" outlineLevel="0" collapsed="false">
      <c r="A593" s="11" t="s">
        <v>1091</v>
      </c>
      <c r="B593" s="11" t="s">
        <v>1092</v>
      </c>
      <c r="C593" s="11" t="s">
        <v>1094</v>
      </c>
      <c r="D593" s="14" t="s">
        <v>1095</v>
      </c>
      <c r="E593" s="13" t="n">
        <v>5880</v>
      </c>
      <c r="F593" s="11" t="s">
        <v>1112</v>
      </c>
      <c r="G593" s="11" t="s">
        <v>1908</v>
      </c>
      <c r="H593" s="11" t="s">
        <v>1109</v>
      </c>
      <c r="I593" s="16" t="s">
        <v>1105</v>
      </c>
    </row>
  </sheetData>
  <autoFilter ref="A1:I593"/>
  <hyperlinks>
    <hyperlink ref="I2" r:id="rId1" display="abrir"/>
    <hyperlink ref="I3" r:id="rId2" display="abrir"/>
    <hyperlink ref="I4" r:id="rId3" display="abrir"/>
    <hyperlink ref="I5" r:id="rId4" display="abrir"/>
    <hyperlink ref="I6" r:id="rId5" display="abrir"/>
    <hyperlink ref="I7" r:id="rId6" display="abrir"/>
    <hyperlink ref="I8" r:id="rId7" display="abrir"/>
    <hyperlink ref="I9" r:id="rId8" display="abrir"/>
    <hyperlink ref="I10" r:id="rId9" display="abrir"/>
    <hyperlink ref="I11" r:id="rId10" display="abrir"/>
    <hyperlink ref="I12" r:id="rId11" display="abrir"/>
    <hyperlink ref="I13" r:id="rId12" display="abrir"/>
    <hyperlink ref="I14" r:id="rId13" display="abrir"/>
    <hyperlink ref="I15" r:id="rId14" display="abrir"/>
    <hyperlink ref="I16" r:id="rId15" display="abrir"/>
    <hyperlink ref="I17" r:id="rId16" display="abrir"/>
    <hyperlink ref="I18" r:id="rId17" display="abrir"/>
    <hyperlink ref="I19" r:id="rId18" display="abrir"/>
    <hyperlink ref="I20" r:id="rId19" display="abrir"/>
    <hyperlink ref="I21" r:id="rId20" display="abrir"/>
    <hyperlink ref="I22" r:id="rId21" display="abrir"/>
    <hyperlink ref="I23" r:id="rId22" display="abrir"/>
    <hyperlink ref="I24" r:id="rId23" display="abrir"/>
    <hyperlink ref="I25" r:id="rId24" display="abrir"/>
    <hyperlink ref="I26" r:id="rId25" display="abrir"/>
    <hyperlink ref="I27" r:id="rId26" display="abrir"/>
    <hyperlink ref="I28" r:id="rId27" display="abrir"/>
    <hyperlink ref="I29" r:id="rId28" display="abrir"/>
    <hyperlink ref="I30" r:id="rId29" display="abrir"/>
    <hyperlink ref="I31" r:id="rId30" display="abrir"/>
    <hyperlink ref="I32" r:id="rId31" display="abrir"/>
    <hyperlink ref="I33" r:id="rId32" display="abrir"/>
    <hyperlink ref="I34" r:id="rId33" display="abrir"/>
    <hyperlink ref="I35" r:id="rId34" display="abrir"/>
    <hyperlink ref="I36" r:id="rId35" display="abrir"/>
    <hyperlink ref="I37" r:id="rId36" display="abrir"/>
    <hyperlink ref="I38" r:id="rId37" display="abrir"/>
    <hyperlink ref="I39" r:id="rId38" display="abrir"/>
    <hyperlink ref="I40" r:id="rId39" display="abrir"/>
    <hyperlink ref="I41" r:id="rId40" display="abrir"/>
    <hyperlink ref="I42" r:id="rId41" display="abrir"/>
    <hyperlink ref="I43" r:id="rId42" display="abrir"/>
    <hyperlink ref="I44" r:id="rId43" display="abrir"/>
    <hyperlink ref="I45" r:id="rId44" display="abrir"/>
    <hyperlink ref="I46" r:id="rId45" display="abrir"/>
    <hyperlink ref="I47" r:id="rId46" display="abrir"/>
    <hyperlink ref="I48" r:id="rId47" display="abrir"/>
    <hyperlink ref="I49" r:id="rId48" display="abrir"/>
    <hyperlink ref="I50" r:id="rId49" display="abrir"/>
    <hyperlink ref="I51" r:id="rId50" display="abrir"/>
    <hyperlink ref="I52" r:id="rId51" display="abrir"/>
    <hyperlink ref="I53" r:id="rId52" display="abrir"/>
    <hyperlink ref="I54" r:id="rId53" display="abrir"/>
    <hyperlink ref="I55" r:id="rId54" display="abrir"/>
    <hyperlink ref="I56" r:id="rId55" display="abrir"/>
    <hyperlink ref="I57" r:id="rId56" display="abrir"/>
    <hyperlink ref="I58" r:id="rId57" display="abrir"/>
    <hyperlink ref="I59" r:id="rId58" display="abrir"/>
    <hyperlink ref="I60" r:id="rId59" display="abrir"/>
    <hyperlink ref="I61" r:id="rId60" display="abrir"/>
    <hyperlink ref="I62" r:id="rId61" display="abrir"/>
    <hyperlink ref="I63" r:id="rId62" display="abrir"/>
    <hyperlink ref="I64" r:id="rId63" display="abrir"/>
    <hyperlink ref="I65" r:id="rId64" display="abrir"/>
    <hyperlink ref="I66" r:id="rId65" display="abrir"/>
    <hyperlink ref="I67" r:id="rId66" display="abrir"/>
    <hyperlink ref="I68" r:id="rId67" display="abrir"/>
    <hyperlink ref="I69" r:id="rId68" display="abrir"/>
    <hyperlink ref="I70" r:id="rId69" display="abrir"/>
    <hyperlink ref="I71" r:id="rId70" display="abrir"/>
    <hyperlink ref="I72" r:id="rId71" display="abrir"/>
    <hyperlink ref="I73" r:id="rId72" display="abrir"/>
    <hyperlink ref="I74" r:id="rId73" display="abrir"/>
    <hyperlink ref="I75" r:id="rId74" display="abrir"/>
    <hyperlink ref="I76" r:id="rId75" display="abrir"/>
    <hyperlink ref="I77" r:id="rId76" display="abrir"/>
    <hyperlink ref="I78" r:id="rId77" display="abrir"/>
    <hyperlink ref="I79" r:id="rId78" display="abrir"/>
    <hyperlink ref="I80" r:id="rId79" display="abrir"/>
    <hyperlink ref="I81" r:id="rId80" display="abrir"/>
    <hyperlink ref="I82" r:id="rId81" display="abrir"/>
    <hyperlink ref="I83" r:id="rId82" display="abrir"/>
    <hyperlink ref="I84" r:id="rId83" display="abrir"/>
    <hyperlink ref="I85" r:id="rId84" display="abrir"/>
    <hyperlink ref="I86" r:id="rId85" display="abrir"/>
    <hyperlink ref="I87" r:id="rId86" display="abrir"/>
    <hyperlink ref="I88" r:id="rId87" display="abrir"/>
    <hyperlink ref="I89" r:id="rId88" display="abrir"/>
    <hyperlink ref="I90" r:id="rId89" display="abrir"/>
    <hyperlink ref="I91" r:id="rId90" display="abrir"/>
    <hyperlink ref="I92" r:id="rId91" display="abrir"/>
    <hyperlink ref="I93" r:id="rId92" display="abrir"/>
    <hyperlink ref="I94" r:id="rId93" display="abrir"/>
    <hyperlink ref="I95" r:id="rId94" display="abrir"/>
    <hyperlink ref="I96" r:id="rId95" display="abrir"/>
    <hyperlink ref="I97" r:id="rId96" display="abrir"/>
    <hyperlink ref="I98" r:id="rId97" display="abrir"/>
    <hyperlink ref="I99" r:id="rId98" display="abrir"/>
    <hyperlink ref="I100" r:id="rId99" display="abrir"/>
    <hyperlink ref="I101" r:id="rId100" display="abrir"/>
    <hyperlink ref="I102" r:id="rId101" display="abrir"/>
    <hyperlink ref="I103" r:id="rId102" display="abrir"/>
    <hyperlink ref="I104" r:id="rId103" display="abrir"/>
    <hyperlink ref="I105" r:id="rId104" display="abrir"/>
    <hyperlink ref="I106" r:id="rId105" display="abrir"/>
    <hyperlink ref="I107" r:id="rId106" display="abrir"/>
    <hyperlink ref="I108" r:id="rId107" display="abrir"/>
    <hyperlink ref="I109" r:id="rId108" display="abrir"/>
    <hyperlink ref="I110" r:id="rId109" display="abrir"/>
    <hyperlink ref="I111" r:id="rId110" display="abrir"/>
    <hyperlink ref="I112" r:id="rId111" display="abrir"/>
    <hyperlink ref="I113" r:id="rId112" display="abrir"/>
    <hyperlink ref="I114" r:id="rId113" display="abrir"/>
    <hyperlink ref="I115" r:id="rId114" display="abrir"/>
    <hyperlink ref="I116" r:id="rId115" display="abrir"/>
    <hyperlink ref="I117" r:id="rId116" display="abrir"/>
    <hyperlink ref="I118" r:id="rId117" display="abrir"/>
    <hyperlink ref="I119" r:id="rId118" display="abrir"/>
    <hyperlink ref="I120" r:id="rId119" display="abrir"/>
    <hyperlink ref="I121" r:id="rId120" display="abrir"/>
    <hyperlink ref="I122" r:id="rId121" display="abrir"/>
    <hyperlink ref="I123" r:id="rId122" display="abrir"/>
    <hyperlink ref="I124" r:id="rId123" display="abrir"/>
    <hyperlink ref="I125" r:id="rId124" display="abrir"/>
    <hyperlink ref="I126" r:id="rId125" display="abrir"/>
    <hyperlink ref="I127" r:id="rId126" display="abrir"/>
    <hyperlink ref="I128" r:id="rId127" display="abrir"/>
    <hyperlink ref="I129" r:id="rId128" display="abrir"/>
    <hyperlink ref="I130" r:id="rId129" display="abrir"/>
    <hyperlink ref="I131" r:id="rId130" display="abrir"/>
    <hyperlink ref="I132" r:id="rId131" display="abrir"/>
    <hyperlink ref="I133" r:id="rId132" display="abrir"/>
    <hyperlink ref="I134" r:id="rId133" display="abrir"/>
    <hyperlink ref="I135" r:id="rId134" display="abrir"/>
    <hyperlink ref="I136" r:id="rId135" display="abrir"/>
    <hyperlink ref="I137" r:id="rId136" display="abrir"/>
    <hyperlink ref="I138" r:id="rId137" display="abrir"/>
    <hyperlink ref="I139" r:id="rId138" display="abrir"/>
    <hyperlink ref="I140" r:id="rId139" display="abrir"/>
    <hyperlink ref="I141" r:id="rId140" display="abrir"/>
    <hyperlink ref="I142" r:id="rId141" display="abrir"/>
    <hyperlink ref="I143" r:id="rId142" display="abrir"/>
    <hyperlink ref="I144" r:id="rId143" display="abrir"/>
    <hyperlink ref="I145" r:id="rId144" display="abrir"/>
    <hyperlink ref="I146" r:id="rId145" display="abrir"/>
    <hyperlink ref="I147" r:id="rId146" display="abrir"/>
    <hyperlink ref="I148" r:id="rId147" display="abrir"/>
    <hyperlink ref="I149" r:id="rId148" display="abrir"/>
    <hyperlink ref="I150" r:id="rId149" display="abrir"/>
    <hyperlink ref="I151" r:id="rId150" display="abrir"/>
    <hyperlink ref="I152" r:id="rId151" display="abrir"/>
    <hyperlink ref="I153" r:id="rId152" display="abrir"/>
    <hyperlink ref="I154" r:id="rId153" display="abrir"/>
    <hyperlink ref="I155" r:id="rId154" display="abrir"/>
    <hyperlink ref="I156" r:id="rId155" display="abrir"/>
    <hyperlink ref="I157" r:id="rId156" display="abrir"/>
    <hyperlink ref="I158" r:id="rId157" display="abrir"/>
    <hyperlink ref="I159" r:id="rId158" display="abrir"/>
    <hyperlink ref="I160" r:id="rId159" display="abrir"/>
    <hyperlink ref="I161" r:id="rId160" display="abrir"/>
    <hyperlink ref="I162" r:id="rId161" display="abrir"/>
    <hyperlink ref="I163" r:id="rId162" display="abrir"/>
    <hyperlink ref="I164" r:id="rId163" display="abrir"/>
    <hyperlink ref="I165" r:id="rId164" display="abrir"/>
    <hyperlink ref="I166" r:id="rId165" display="abrir"/>
    <hyperlink ref="I167" r:id="rId166" display="abrir"/>
    <hyperlink ref="I168" r:id="rId167" display="abrir"/>
    <hyperlink ref="I169" r:id="rId168" display="abrir"/>
    <hyperlink ref="I170" r:id="rId169" display="abrir"/>
    <hyperlink ref="I171" r:id="rId170" display="abrir"/>
    <hyperlink ref="I172" r:id="rId171" display="abrir"/>
    <hyperlink ref="I173" r:id="rId172" display="abrir"/>
    <hyperlink ref="I174" r:id="rId173" display="abrir"/>
    <hyperlink ref="I175" r:id="rId174" display="abrir"/>
    <hyperlink ref="I176" r:id="rId175" display="abrir"/>
    <hyperlink ref="I177" r:id="rId176" display="abrir"/>
    <hyperlink ref="I178" r:id="rId177" display="abrir"/>
    <hyperlink ref="I179" r:id="rId178" display="abrir"/>
    <hyperlink ref="I180" r:id="rId179" display="abrir"/>
    <hyperlink ref="I181" r:id="rId180" display="abrir"/>
    <hyperlink ref="I182" r:id="rId181" display="abrir"/>
    <hyperlink ref="I183" r:id="rId182" display="abrir"/>
    <hyperlink ref="I184" r:id="rId183" display="abrir"/>
    <hyperlink ref="I185" r:id="rId184" display="abrir"/>
    <hyperlink ref="I186" r:id="rId185" display="abrir"/>
    <hyperlink ref="I187" r:id="rId186" display="abrir"/>
    <hyperlink ref="I188" r:id="rId187" display="abrir"/>
    <hyperlink ref="I189" r:id="rId188" display="abrir"/>
    <hyperlink ref="I190" r:id="rId189" display="abrir"/>
    <hyperlink ref="I191" r:id="rId190" display="abrir"/>
    <hyperlink ref="I192" r:id="rId191" display="abrir"/>
    <hyperlink ref="I193" r:id="rId192" display="abrir"/>
    <hyperlink ref="I194" r:id="rId193" display="abrir"/>
    <hyperlink ref="I195" r:id="rId194" display="abrir"/>
    <hyperlink ref="I196" r:id="rId195" display="abrir"/>
    <hyperlink ref="I197" r:id="rId196" display="abrir"/>
    <hyperlink ref="I198" r:id="rId197" display="abrir"/>
    <hyperlink ref="I199" r:id="rId198" display="abrir"/>
    <hyperlink ref="I200" r:id="rId199" display="abrir"/>
    <hyperlink ref="I201" r:id="rId200" display="abrir"/>
    <hyperlink ref="I202" r:id="rId201" display="abrir"/>
    <hyperlink ref="I203" r:id="rId202" display="abrir"/>
    <hyperlink ref="I204" r:id="rId203" display="abrir"/>
    <hyperlink ref="I205" r:id="rId204" display="abrir"/>
    <hyperlink ref="I206" r:id="rId205" display="abrir"/>
    <hyperlink ref="I207" r:id="rId206" display="abrir"/>
    <hyperlink ref="I208" r:id="rId207" display="abrir"/>
    <hyperlink ref="I209" r:id="rId208" display="abrir"/>
    <hyperlink ref="I210" r:id="rId209" display="abrir"/>
    <hyperlink ref="I211" r:id="rId210" display="abrir"/>
    <hyperlink ref="I212" r:id="rId211" display="abrir"/>
    <hyperlink ref="I213" r:id="rId212" display="abrir"/>
    <hyperlink ref="I214" r:id="rId213" display="abrir"/>
    <hyperlink ref="I215" r:id="rId214" display="abrir"/>
    <hyperlink ref="I216" r:id="rId215" display="abrir"/>
    <hyperlink ref="I217" r:id="rId216" display="abrir"/>
    <hyperlink ref="I218" r:id="rId217" display="abrir"/>
    <hyperlink ref="I219" r:id="rId218" display="abrir"/>
    <hyperlink ref="I220" r:id="rId219" display="abrir"/>
    <hyperlink ref="I221" r:id="rId220" display="abrir"/>
    <hyperlink ref="I222" r:id="rId221" display="abrir"/>
    <hyperlink ref="I223" r:id="rId222" display="abrir"/>
    <hyperlink ref="I224" r:id="rId223" display="abrir"/>
    <hyperlink ref="I225" r:id="rId224" display="abrir"/>
    <hyperlink ref="I226" r:id="rId225" display="abrir"/>
    <hyperlink ref="I227" r:id="rId226" display="abrir"/>
    <hyperlink ref="I228" r:id="rId227" display="abrir"/>
    <hyperlink ref="I229" r:id="rId228" display="abrir"/>
    <hyperlink ref="I230" r:id="rId229" display="abrir"/>
    <hyperlink ref="I231" r:id="rId230" display="abrir"/>
    <hyperlink ref="I232" r:id="rId231" display="abrir"/>
    <hyperlink ref="I233" r:id="rId232" display="abrir"/>
    <hyperlink ref="I234" r:id="rId233" display="abrir"/>
    <hyperlink ref="I235" r:id="rId234" display="abrir"/>
    <hyperlink ref="I236" r:id="rId235" display="abrir"/>
    <hyperlink ref="I237" r:id="rId236" display="abrir"/>
    <hyperlink ref="I238" r:id="rId237" display="abrir"/>
    <hyperlink ref="I239" r:id="rId238" display="abrir"/>
    <hyperlink ref="I240" r:id="rId239" display="abrir"/>
    <hyperlink ref="I241" r:id="rId240" display="abrir"/>
    <hyperlink ref="I242" r:id="rId241" display="abrir"/>
    <hyperlink ref="I243" r:id="rId242" display="abrir"/>
    <hyperlink ref="I244" r:id="rId243" display="abrir"/>
    <hyperlink ref="I245" r:id="rId244" display="abrir"/>
    <hyperlink ref="I246" r:id="rId245" display="abrir"/>
    <hyperlink ref="I247" r:id="rId246" display="abrir"/>
    <hyperlink ref="I248" r:id="rId247" display="abrir"/>
    <hyperlink ref="I249" r:id="rId248" display="abrir"/>
    <hyperlink ref="I250" r:id="rId249" display="abrir"/>
    <hyperlink ref="I251" r:id="rId250" display="abrir"/>
    <hyperlink ref="I252" r:id="rId251" display="abrir"/>
    <hyperlink ref="I253" r:id="rId252" display="abrir"/>
    <hyperlink ref="I254" r:id="rId253" display="abrir"/>
    <hyperlink ref="I255" r:id="rId254" display="abrir"/>
    <hyperlink ref="I256" r:id="rId255" display="abrir"/>
    <hyperlink ref="I257" r:id="rId256" display="abrir"/>
    <hyperlink ref="I258" r:id="rId257" display="abrir"/>
    <hyperlink ref="I259" r:id="rId258" display="abrir"/>
    <hyperlink ref="I260" r:id="rId259" display="abrir"/>
    <hyperlink ref="I261" r:id="rId260" display="abrir"/>
    <hyperlink ref="I262" r:id="rId261" display="abrir"/>
    <hyperlink ref="I263" r:id="rId262" display="abrir"/>
    <hyperlink ref="I264" r:id="rId263" display="abrir"/>
    <hyperlink ref="I265" r:id="rId264" display="abrir"/>
    <hyperlink ref="I266" r:id="rId265" display="abrir"/>
    <hyperlink ref="I267" r:id="rId266" display="abrir"/>
    <hyperlink ref="I268" r:id="rId267" display="abrir"/>
    <hyperlink ref="I269" r:id="rId268" display="abrir"/>
    <hyperlink ref="I270" r:id="rId269" display="abrir"/>
    <hyperlink ref="I271" r:id="rId270" display="abrir"/>
    <hyperlink ref="I272" r:id="rId271" display="abrir"/>
    <hyperlink ref="I273" r:id="rId272" display="abrir"/>
    <hyperlink ref="I274" r:id="rId273" display="abrir"/>
    <hyperlink ref="I275" r:id="rId274" display="abrir"/>
    <hyperlink ref="I276" r:id="rId275" display="abrir"/>
    <hyperlink ref="I277" r:id="rId276" display="abrir"/>
    <hyperlink ref="I278" r:id="rId277" display="abrir"/>
    <hyperlink ref="I279" r:id="rId278" display="abrir"/>
    <hyperlink ref="I280" r:id="rId279" display="abrir"/>
    <hyperlink ref="I281" r:id="rId280" display="abrir"/>
    <hyperlink ref="I282" r:id="rId281" display="abrir"/>
    <hyperlink ref="I283" r:id="rId282" display="abrir"/>
    <hyperlink ref="I284" r:id="rId283" display="abrir"/>
    <hyperlink ref="I285" r:id="rId284" display="abrir"/>
    <hyperlink ref="I286" r:id="rId285" display="abrir"/>
    <hyperlink ref="I287" r:id="rId286" display="abrir"/>
    <hyperlink ref="I288" r:id="rId287" display="abrir"/>
    <hyperlink ref="I289" r:id="rId288" display="abrir"/>
    <hyperlink ref="I290" r:id="rId289" display="abrir"/>
    <hyperlink ref="I291" r:id="rId290" display="abrir"/>
    <hyperlink ref="I292" r:id="rId291" display="abrir"/>
    <hyperlink ref="I293" r:id="rId292" display="abrir"/>
    <hyperlink ref="I294" r:id="rId293" display="abrir"/>
    <hyperlink ref="I295" r:id="rId294" display="abrir"/>
    <hyperlink ref="I296" r:id="rId295" display="abrir"/>
    <hyperlink ref="I297" r:id="rId296" display="abrir"/>
    <hyperlink ref="I298" r:id="rId297" display="abrir"/>
    <hyperlink ref="I299" r:id="rId298" display="abrir"/>
    <hyperlink ref="I300" r:id="rId299" display="abrir"/>
    <hyperlink ref="I301" r:id="rId300" display="abrir"/>
    <hyperlink ref="I302" r:id="rId301" display="abrir"/>
    <hyperlink ref="I303" r:id="rId302" display="abrir"/>
    <hyperlink ref="I304" r:id="rId303" display="abrir"/>
    <hyperlink ref="I305" r:id="rId304" display="abrir"/>
    <hyperlink ref="I306" r:id="rId305" display="abrir"/>
    <hyperlink ref="I307" r:id="rId306" display="abrir"/>
    <hyperlink ref="I308" r:id="rId307" display="abrir"/>
    <hyperlink ref="I309" r:id="rId308" display="abrir"/>
    <hyperlink ref="I310" r:id="rId309" display="abrir"/>
    <hyperlink ref="I311" r:id="rId310" display="abrir"/>
    <hyperlink ref="I312" r:id="rId311" display="abrir"/>
    <hyperlink ref="I313" r:id="rId312" display="abrir"/>
    <hyperlink ref="I314" r:id="rId313" display="abrir"/>
    <hyperlink ref="I315" r:id="rId314" display="abrir"/>
    <hyperlink ref="I316" r:id="rId315" display="abrir"/>
    <hyperlink ref="I317" r:id="rId316" display="abrir"/>
    <hyperlink ref="I318" r:id="rId317" display="abrir"/>
    <hyperlink ref="I319" r:id="rId318" display="abrir"/>
    <hyperlink ref="I320" r:id="rId319" display="abrir"/>
    <hyperlink ref="I321" r:id="rId320" display="abrir"/>
    <hyperlink ref="I322" r:id="rId321" display="abrir"/>
    <hyperlink ref="I323" r:id="rId322" display="abrir"/>
    <hyperlink ref="I324" r:id="rId323" display="abrir"/>
    <hyperlink ref="I325" r:id="rId324" display="abrir"/>
    <hyperlink ref="I326" r:id="rId325" display="abrir"/>
    <hyperlink ref="I327" r:id="rId326" display="abrir"/>
    <hyperlink ref="I328" r:id="rId327" display="abrir"/>
    <hyperlink ref="I329" r:id="rId328" display="abrir"/>
    <hyperlink ref="I330" r:id="rId329" display="abrir"/>
    <hyperlink ref="I331" r:id="rId330" display="abrir"/>
    <hyperlink ref="I332" r:id="rId331" display="abrir"/>
    <hyperlink ref="I333" r:id="rId332" display="abrir"/>
    <hyperlink ref="I334" r:id="rId333" display="abrir"/>
    <hyperlink ref="I335" r:id="rId334" display="abrir"/>
    <hyperlink ref="I336" r:id="rId335" display="abrir"/>
    <hyperlink ref="I337" r:id="rId336" display="abrir"/>
    <hyperlink ref="I338" r:id="rId337" display="abrir"/>
    <hyperlink ref="I339" r:id="rId338" display="abrir"/>
    <hyperlink ref="I340" r:id="rId339" display="abrir"/>
    <hyperlink ref="I341" r:id="rId340" display="abrir"/>
    <hyperlink ref="I342" r:id="rId341" display="abrir"/>
    <hyperlink ref="I343" r:id="rId342" display="abrir"/>
    <hyperlink ref="I344" r:id="rId343" display="abrir"/>
    <hyperlink ref="I345" r:id="rId344" display="abrir"/>
    <hyperlink ref="I346" r:id="rId345" display="abrir"/>
    <hyperlink ref="I347" r:id="rId346" display="abrir"/>
    <hyperlink ref="I348" r:id="rId347" display="abrir"/>
    <hyperlink ref="I349" r:id="rId348" display="abrir"/>
    <hyperlink ref="I350" r:id="rId349" display="abrir"/>
    <hyperlink ref="I351" r:id="rId350" display="abrir"/>
    <hyperlink ref="I352" r:id="rId351" display="abrir"/>
    <hyperlink ref="I353" r:id="rId352" display="abrir"/>
    <hyperlink ref="I354" r:id="rId353" display="abrir"/>
    <hyperlink ref="I355" r:id="rId354" display="abrir"/>
    <hyperlink ref="I356" r:id="rId355" display="abrir"/>
    <hyperlink ref="I357" r:id="rId356" display="abrir"/>
    <hyperlink ref="I358" r:id="rId357" display="abrir"/>
    <hyperlink ref="I359" r:id="rId358" display="abrir"/>
    <hyperlink ref="I360" r:id="rId359" display="abrir"/>
    <hyperlink ref="I361" r:id="rId360" display="abrir"/>
    <hyperlink ref="I362" r:id="rId361" display="abrir"/>
    <hyperlink ref="I363" r:id="rId362" display="abrir"/>
    <hyperlink ref="I364" r:id="rId363" display="abrir"/>
    <hyperlink ref="I365" r:id="rId364" display="abrir"/>
    <hyperlink ref="I366" r:id="rId365" display="abrir"/>
    <hyperlink ref="I367" r:id="rId366" display="abrir"/>
    <hyperlink ref="I368" r:id="rId367" display="abrir"/>
    <hyperlink ref="I369" r:id="rId368" display="abrir"/>
    <hyperlink ref="I370" r:id="rId369" display="abrir"/>
    <hyperlink ref="I371" r:id="rId370" display="abrir"/>
    <hyperlink ref="I372" r:id="rId371" display="abrir"/>
    <hyperlink ref="I373" r:id="rId372" display="abrir"/>
    <hyperlink ref="I374" r:id="rId373" display="abrir"/>
    <hyperlink ref="I375" r:id="rId374" display="abrir"/>
    <hyperlink ref="I376" r:id="rId375" display="abrir"/>
    <hyperlink ref="I377" r:id="rId376" display="abrir"/>
    <hyperlink ref="I378" r:id="rId377" display="abrir"/>
    <hyperlink ref="I379" r:id="rId378" display="abrir"/>
    <hyperlink ref="I380" r:id="rId379" display="abrir"/>
    <hyperlink ref="I381" r:id="rId380" display="abrir"/>
    <hyperlink ref="I382" r:id="rId381" display="abrir"/>
    <hyperlink ref="I383" r:id="rId382" display="abrir"/>
    <hyperlink ref="I384" r:id="rId383" display="abrir"/>
    <hyperlink ref="I385" r:id="rId384" display="abrir"/>
    <hyperlink ref="I386" r:id="rId385" display="abrir"/>
    <hyperlink ref="I387" r:id="rId386" display="abrir"/>
    <hyperlink ref="I388" r:id="rId387" display="abrir"/>
    <hyperlink ref="I389" r:id="rId388" display="abrir"/>
    <hyperlink ref="I390" r:id="rId389" display="abrir"/>
    <hyperlink ref="I391" r:id="rId390" display="abrir"/>
    <hyperlink ref="I392" r:id="rId391" display="abrir"/>
    <hyperlink ref="I393" r:id="rId392" display="abrir"/>
    <hyperlink ref="I394" r:id="rId393" display="abrir"/>
    <hyperlink ref="I395" r:id="rId394" display="abrir"/>
    <hyperlink ref="I396" r:id="rId395" display="abrir"/>
    <hyperlink ref="I397" r:id="rId396" display="abrir"/>
    <hyperlink ref="I398" r:id="rId397" display="abrir"/>
    <hyperlink ref="I399" r:id="rId398" display="abrir"/>
    <hyperlink ref="I400" r:id="rId399" display="abrir"/>
    <hyperlink ref="I401" r:id="rId400" display="abrir"/>
    <hyperlink ref="I402" r:id="rId401" display="abrir"/>
    <hyperlink ref="I403" r:id="rId402" display="abrir"/>
    <hyperlink ref="I404" r:id="rId403" display="abrir"/>
    <hyperlink ref="I405" r:id="rId404" display="abrir"/>
    <hyperlink ref="I406" r:id="rId405" display="abrir"/>
    <hyperlink ref="I407" r:id="rId406" display="abrir"/>
    <hyperlink ref="I408" r:id="rId407" display="abrir"/>
    <hyperlink ref="I409" r:id="rId408" display="abrir"/>
    <hyperlink ref="I410" r:id="rId409" display="abrir"/>
    <hyperlink ref="I411" r:id="rId410" display="abrir"/>
    <hyperlink ref="I412" r:id="rId411" display="abrir"/>
    <hyperlink ref="I413" r:id="rId412" display="abrir"/>
    <hyperlink ref="I414" r:id="rId413" display="abrir"/>
    <hyperlink ref="I415" r:id="rId414" display="abrir"/>
    <hyperlink ref="I416" r:id="rId415" display="abrir"/>
    <hyperlink ref="I417" r:id="rId416" display="abrir"/>
    <hyperlink ref="I418" r:id="rId417" display="abrir"/>
    <hyperlink ref="I419" r:id="rId418" display="abrir"/>
    <hyperlink ref="I420" r:id="rId419" display="abrir"/>
    <hyperlink ref="I421" r:id="rId420" display="abrir"/>
    <hyperlink ref="I422" r:id="rId421" display="abrir"/>
    <hyperlink ref="I423" r:id="rId422" display="abrir"/>
    <hyperlink ref="I424" r:id="rId423" display="abrir"/>
    <hyperlink ref="I425" r:id="rId424" display="abrir"/>
    <hyperlink ref="I426" r:id="rId425" display="abrir"/>
    <hyperlink ref="I427" r:id="rId426" display="abrir"/>
    <hyperlink ref="I428" r:id="rId427" display="abrir"/>
    <hyperlink ref="I429" r:id="rId428" display="abrir"/>
    <hyperlink ref="I430" r:id="rId429" display="abrir"/>
    <hyperlink ref="I431" r:id="rId430" display="abrir"/>
    <hyperlink ref="I432" r:id="rId431" display="abrir"/>
    <hyperlink ref="I433" r:id="rId432" display="abrir"/>
    <hyperlink ref="I434" r:id="rId433" display="abrir"/>
    <hyperlink ref="I435" r:id="rId434" display="abrir"/>
    <hyperlink ref="I436" r:id="rId435" display="abrir"/>
    <hyperlink ref="I437" r:id="rId436" display="abrir"/>
    <hyperlink ref="I438" r:id="rId437" display="abrir"/>
    <hyperlink ref="I439" r:id="rId438" display="abrir"/>
    <hyperlink ref="I440" r:id="rId439" display="abrir"/>
    <hyperlink ref="I441" r:id="rId440" display="abrir"/>
    <hyperlink ref="I442" r:id="rId441" display="abrir"/>
    <hyperlink ref="I443" r:id="rId442" display="abrir"/>
    <hyperlink ref="I444" r:id="rId443" display="abrir"/>
    <hyperlink ref="I445" r:id="rId444" display="abrir"/>
    <hyperlink ref="I446" r:id="rId445" display="abrir"/>
    <hyperlink ref="I447" r:id="rId446" display="abrir"/>
    <hyperlink ref="I448" r:id="rId447" display="abrir"/>
    <hyperlink ref="I449" r:id="rId448" display="abrir"/>
    <hyperlink ref="I450" r:id="rId449" display="abrir"/>
    <hyperlink ref="I451" r:id="rId450" display="abrir"/>
    <hyperlink ref="I452" r:id="rId451" display="abrir"/>
    <hyperlink ref="I453" r:id="rId452" display="abrir"/>
    <hyperlink ref="I454" r:id="rId453" display="abrir"/>
    <hyperlink ref="I455" r:id="rId454" display="abrir"/>
    <hyperlink ref="I456" r:id="rId455" display="abrir"/>
    <hyperlink ref="I457" r:id="rId456" display="abrir"/>
    <hyperlink ref="I458" r:id="rId457" display="abrir"/>
    <hyperlink ref="I459" r:id="rId458" display="abrir"/>
    <hyperlink ref="I460" r:id="rId459" display="abrir"/>
    <hyperlink ref="I461" r:id="rId460" display="abrir"/>
    <hyperlink ref="I462" r:id="rId461" display="abrir"/>
    <hyperlink ref="I463" r:id="rId462" display="abrir"/>
    <hyperlink ref="I464" r:id="rId463" display="abrir"/>
    <hyperlink ref="I465" r:id="rId464" display="abrir"/>
    <hyperlink ref="I466" r:id="rId465" display="abrir"/>
    <hyperlink ref="I467" r:id="rId466" display="abrir"/>
    <hyperlink ref="I468" r:id="rId467" display="abrir"/>
    <hyperlink ref="I469" r:id="rId468" display="abrir"/>
    <hyperlink ref="I470" r:id="rId469" display="abrir"/>
    <hyperlink ref="I471" r:id="rId470" display="abrir"/>
    <hyperlink ref="I472" r:id="rId471" display="abrir"/>
    <hyperlink ref="I473" r:id="rId472" display="abrir"/>
    <hyperlink ref="I474" r:id="rId473" display="abrir"/>
    <hyperlink ref="I475" r:id="rId474" display="abrir"/>
    <hyperlink ref="I476" r:id="rId475" display="abrir"/>
    <hyperlink ref="I477" r:id="rId476" display="abrir"/>
    <hyperlink ref="I478" r:id="rId477" display="abrir"/>
    <hyperlink ref="I479" r:id="rId478" display="abrir"/>
    <hyperlink ref="I480" r:id="rId479" display="abrir"/>
    <hyperlink ref="I481" r:id="rId480" display="abrir"/>
    <hyperlink ref="I482" r:id="rId481" display="abrir"/>
    <hyperlink ref="I483" r:id="rId482" display="abrir"/>
    <hyperlink ref="I484" r:id="rId483" display="abrir"/>
    <hyperlink ref="I485" r:id="rId484" display="abrir"/>
    <hyperlink ref="I486" r:id="rId485" display="abrir"/>
    <hyperlink ref="I487" r:id="rId486" display="abrir"/>
    <hyperlink ref="I488" r:id="rId487" display="abrir"/>
    <hyperlink ref="I489" r:id="rId488" display="abrir"/>
    <hyperlink ref="I490" r:id="rId489" display="abrir"/>
    <hyperlink ref="I491" r:id="rId490" display="abrir"/>
    <hyperlink ref="I492" r:id="rId491" display="abrir"/>
    <hyperlink ref="I493" r:id="rId492" display="abrir"/>
    <hyperlink ref="I494" r:id="rId493" display="abrir"/>
    <hyperlink ref="I495" r:id="rId494" display="abrir"/>
    <hyperlink ref="I496" r:id="rId495" display="abrir"/>
    <hyperlink ref="I497" r:id="rId496" display="abrir"/>
    <hyperlink ref="I498" r:id="rId497" display="abrir"/>
    <hyperlink ref="I499" r:id="rId498" display="abrir"/>
    <hyperlink ref="I500" r:id="rId499" display="abrir"/>
    <hyperlink ref="I501" r:id="rId500" display="abrir"/>
    <hyperlink ref="I502" r:id="rId501" display="abrir"/>
    <hyperlink ref="I503" r:id="rId502" display="abrir"/>
    <hyperlink ref="I504" r:id="rId503" display="abrir"/>
    <hyperlink ref="I505" r:id="rId504" display="abrir"/>
    <hyperlink ref="I506" r:id="rId505" display="abrir"/>
    <hyperlink ref="I507" r:id="rId506" display="abrir"/>
    <hyperlink ref="I508" r:id="rId507" display="abrir"/>
    <hyperlink ref="I509" r:id="rId508" display="abrir"/>
    <hyperlink ref="I510" r:id="rId509" display="abrir"/>
    <hyperlink ref="I511" r:id="rId510" display="abrir"/>
    <hyperlink ref="I512" r:id="rId511" display="abrir"/>
    <hyperlink ref="I513" r:id="rId512" display="abrir"/>
    <hyperlink ref="I514" r:id="rId513" display="abrir"/>
    <hyperlink ref="I515" r:id="rId514" display="abrir"/>
    <hyperlink ref="I516" r:id="rId515" display="abrir"/>
    <hyperlink ref="I517" r:id="rId516" display="abrir"/>
    <hyperlink ref="I518" r:id="rId517" display="abrir"/>
    <hyperlink ref="I519" r:id="rId518" display="abrir"/>
    <hyperlink ref="I520" r:id="rId519" display="abrir"/>
    <hyperlink ref="I521" r:id="rId520" display="abrir"/>
    <hyperlink ref="I522" r:id="rId521" display="abrir"/>
    <hyperlink ref="I523" r:id="rId522" display="abrir"/>
    <hyperlink ref="I524" r:id="rId523" display="abrir"/>
    <hyperlink ref="I525" r:id="rId524" display="abrir"/>
    <hyperlink ref="I526" r:id="rId525" display="abrir"/>
    <hyperlink ref="I527" r:id="rId526" display="abrir"/>
    <hyperlink ref="I528" r:id="rId527" display="abrir"/>
    <hyperlink ref="I529" r:id="rId528" display="abrir"/>
    <hyperlink ref="I530" r:id="rId529" display="abrir"/>
    <hyperlink ref="I531" r:id="rId530" display="abrir"/>
    <hyperlink ref="I532" r:id="rId531" display="abrir"/>
    <hyperlink ref="I533" r:id="rId532" display="abrir"/>
    <hyperlink ref="I534" r:id="rId533" display="abrir"/>
    <hyperlink ref="I535" r:id="rId534" display="abrir"/>
    <hyperlink ref="I536" r:id="rId535" display="abrir"/>
    <hyperlink ref="I537" r:id="rId536" display="abrir"/>
    <hyperlink ref="I538" r:id="rId537" display="abrir"/>
    <hyperlink ref="I539" r:id="rId538" display="abrir"/>
    <hyperlink ref="I540" r:id="rId539" display="abrir"/>
    <hyperlink ref="I541" r:id="rId540" display="abrir"/>
    <hyperlink ref="I542" r:id="rId541" display="abrir"/>
    <hyperlink ref="I543" r:id="rId542" display="abrir"/>
    <hyperlink ref="I544" r:id="rId543" display="abrir"/>
    <hyperlink ref="I545" r:id="rId544" display="abrir"/>
    <hyperlink ref="I546" r:id="rId545" display="abrir"/>
    <hyperlink ref="I547" r:id="rId546" display="abrir"/>
    <hyperlink ref="I548" r:id="rId547" display="abrir"/>
    <hyperlink ref="I549" r:id="rId548" display="abrir"/>
    <hyperlink ref="I550" r:id="rId549" display="abrir"/>
    <hyperlink ref="I551" r:id="rId550" display="abrir"/>
    <hyperlink ref="I552" r:id="rId551" display="abrir"/>
    <hyperlink ref="I553" r:id="rId552" display="abrir"/>
    <hyperlink ref="I554" r:id="rId553" display="abrir"/>
    <hyperlink ref="I555" r:id="rId554" display="abrir"/>
    <hyperlink ref="I556" r:id="rId555" display="abrir"/>
    <hyperlink ref="I557" r:id="rId556" display="abrir"/>
    <hyperlink ref="I558" r:id="rId557" display="abrir"/>
    <hyperlink ref="I559" r:id="rId558" display="abrir"/>
    <hyperlink ref="I560" r:id="rId559" display="abrir"/>
    <hyperlink ref="I561" r:id="rId560" display="abrir"/>
    <hyperlink ref="I562" r:id="rId561" display="abrir"/>
    <hyperlink ref="I563" r:id="rId562" display="abrir"/>
    <hyperlink ref="I564" r:id="rId563" display="abrir"/>
    <hyperlink ref="I565" r:id="rId564" display="abrir"/>
    <hyperlink ref="I566" r:id="rId565" display="abrir"/>
    <hyperlink ref="I567" r:id="rId566" display="abrir"/>
    <hyperlink ref="I568" r:id="rId567" display="abrir"/>
    <hyperlink ref="I569" r:id="rId568" display="abrir"/>
    <hyperlink ref="I570" r:id="rId569" display="abrir"/>
    <hyperlink ref="I571" r:id="rId570" display="abrir"/>
    <hyperlink ref="I572" r:id="rId571" display="abrir"/>
    <hyperlink ref="I573" r:id="rId572" display="abrir"/>
    <hyperlink ref="I574" r:id="rId573" display="abrir"/>
    <hyperlink ref="I575" r:id="rId574" display="abrir"/>
    <hyperlink ref="I576" r:id="rId575" display="abrir"/>
    <hyperlink ref="I577" r:id="rId576" display="abrir"/>
    <hyperlink ref="I578" r:id="rId577" display="abrir"/>
    <hyperlink ref="I579" r:id="rId578" display="abrir"/>
    <hyperlink ref="I580" r:id="rId579" display="abrir"/>
    <hyperlink ref="I581" r:id="rId580" display="abrir"/>
    <hyperlink ref="I582" r:id="rId581" display="abrir"/>
    <hyperlink ref="I583" r:id="rId582" display="abrir"/>
    <hyperlink ref="I584" r:id="rId583" display="abrir"/>
    <hyperlink ref="I585" r:id="rId584" display="abrir"/>
    <hyperlink ref="I586" r:id="rId585" display="abrir"/>
    <hyperlink ref="I587" r:id="rId586" display="abrir"/>
    <hyperlink ref="I588" r:id="rId587" display="abrir"/>
    <hyperlink ref="I589" r:id="rId588" display="abrir"/>
    <hyperlink ref="I590" r:id="rId589" display="abrir"/>
    <hyperlink ref="I591" r:id="rId590" display="abrir"/>
    <hyperlink ref="I592" r:id="rId591" display="abrir"/>
    <hyperlink ref="I593" r:id="rId592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9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60"/>
  </cols>
  <sheetData>
    <row r="1" customFormat="false" ht="30" hidden="false" customHeight="true" outlineLevel="0" collapsed="false">
      <c r="A1" s="10" t="s">
        <v>1099</v>
      </c>
      <c r="B1" s="10" t="s">
        <v>26</v>
      </c>
      <c r="C1" s="10" t="s">
        <v>28</v>
      </c>
      <c r="D1" s="10" t="s">
        <v>2060</v>
      </c>
      <c r="E1" s="10" t="s">
        <v>1100</v>
      </c>
      <c r="F1" s="10" t="s">
        <v>2061</v>
      </c>
    </row>
    <row r="2" customFormat="false" ht="35.05" hidden="false" customHeight="false" outlineLevel="0" collapsed="false">
      <c r="A2" s="11" t="s">
        <v>1590</v>
      </c>
      <c r="B2" s="11" t="s">
        <v>2062</v>
      </c>
      <c r="C2" s="11" t="n">
        <v>32</v>
      </c>
      <c r="D2" s="13" t="n">
        <v>319788.02</v>
      </c>
      <c r="E2" s="14" t="s">
        <v>2063</v>
      </c>
      <c r="F2" s="14" t="s">
        <v>2064</v>
      </c>
    </row>
    <row r="3" customFormat="false" ht="23.85" hidden="false" customHeight="false" outlineLevel="0" collapsed="false">
      <c r="A3" s="11" t="s">
        <v>1159</v>
      </c>
      <c r="B3" s="11" t="s">
        <v>2065</v>
      </c>
      <c r="C3" s="11" t="n">
        <v>22</v>
      </c>
      <c r="D3" s="13" t="n">
        <v>571073.26</v>
      </c>
      <c r="E3" s="14" t="s">
        <v>2066</v>
      </c>
      <c r="F3" s="14" t="s">
        <v>2067</v>
      </c>
    </row>
    <row r="4" customFormat="false" ht="46.25" hidden="false" customHeight="false" outlineLevel="0" collapsed="false">
      <c r="A4" s="11" t="s">
        <v>1136</v>
      </c>
      <c r="B4" s="11" t="s">
        <v>2068</v>
      </c>
      <c r="C4" s="11" t="n">
        <v>20</v>
      </c>
      <c r="D4" s="13" t="n">
        <v>7210025.33</v>
      </c>
      <c r="E4" s="14" t="s">
        <v>2069</v>
      </c>
      <c r="F4" s="14" t="s">
        <v>2070</v>
      </c>
    </row>
    <row r="5" customFormat="false" ht="35.05" hidden="false" customHeight="false" outlineLevel="0" collapsed="false">
      <c r="A5" s="11" t="s">
        <v>1142</v>
      </c>
      <c r="B5" s="11" t="s">
        <v>2071</v>
      </c>
      <c r="C5" s="11" t="n">
        <v>20</v>
      </c>
      <c r="D5" s="13" t="n">
        <v>2756768.75</v>
      </c>
      <c r="E5" s="14" t="s">
        <v>2072</v>
      </c>
      <c r="F5" s="14" t="s">
        <v>2073</v>
      </c>
    </row>
    <row r="6" customFormat="false" ht="23.85" hidden="false" customHeight="false" outlineLevel="0" collapsed="false">
      <c r="A6" s="11" t="s">
        <v>1274</v>
      </c>
      <c r="B6" s="11" t="s">
        <v>2074</v>
      </c>
      <c r="C6" s="11" t="n">
        <v>19</v>
      </c>
      <c r="D6" s="13" t="n">
        <v>1486821.07</v>
      </c>
      <c r="E6" s="14" t="s">
        <v>2075</v>
      </c>
      <c r="F6" s="14" t="s">
        <v>2076</v>
      </c>
    </row>
    <row r="7" customFormat="false" ht="23.85" hidden="false" customHeight="false" outlineLevel="0" collapsed="false">
      <c r="A7" s="11" t="s">
        <v>1103</v>
      </c>
      <c r="B7" s="11" t="s">
        <v>2077</v>
      </c>
      <c r="C7" s="11" t="n">
        <v>18</v>
      </c>
      <c r="D7" s="13" t="n">
        <v>1184790.49</v>
      </c>
      <c r="E7" s="14" t="s">
        <v>2078</v>
      </c>
      <c r="F7" s="14" t="s">
        <v>2079</v>
      </c>
    </row>
    <row r="8" customFormat="false" ht="46.25" hidden="false" customHeight="false" outlineLevel="0" collapsed="false">
      <c r="A8" s="11" t="s">
        <v>1483</v>
      </c>
      <c r="B8" s="11" t="s">
        <v>2080</v>
      </c>
      <c r="C8" s="11" t="n">
        <v>15</v>
      </c>
      <c r="D8" s="13" t="n">
        <v>329961.11</v>
      </c>
      <c r="E8" s="14" t="s">
        <v>2081</v>
      </c>
      <c r="F8" s="14" t="s">
        <v>2082</v>
      </c>
    </row>
    <row r="9" customFormat="false" ht="23.85" hidden="false" customHeight="false" outlineLevel="0" collapsed="false">
      <c r="A9" s="11" t="s">
        <v>1168</v>
      </c>
      <c r="B9" s="11" t="s">
        <v>2083</v>
      </c>
      <c r="C9" s="11" t="n">
        <v>14</v>
      </c>
      <c r="D9" s="13" t="n">
        <v>1315686.17</v>
      </c>
      <c r="E9" s="14" t="s">
        <v>2084</v>
      </c>
      <c r="F9" s="14" t="s">
        <v>2085</v>
      </c>
    </row>
    <row r="10" customFormat="false" ht="35.05" hidden="false" customHeight="false" outlineLevel="0" collapsed="false">
      <c r="A10" s="11" t="s">
        <v>492</v>
      </c>
      <c r="B10" s="11" t="s">
        <v>493</v>
      </c>
      <c r="C10" s="11" t="n">
        <v>14</v>
      </c>
      <c r="D10" s="13" t="n">
        <v>1369342.78</v>
      </c>
      <c r="E10" s="14" t="s">
        <v>2086</v>
      </c>
      <c r="F10" s="14" t="s">
        <v>2087</v>
      </c>
    </row>
    <row r="11" customFormat="false" ht="35.05" hidden="false" customHeight="false" outlineLevel="0" collapsed="false">
      <c r="A11" s="11" t="s">
        <v>1370</v>
      </c>
      <c r="B11" s="11" t="s">
        <v>2088</v>
      </c>
      <c r="C11" s="11" t="n">
        <v>13</v>
      </c>
      <c r="D11" s="13" t="n">
        <v>1489910</v>
      </c>
      <c r="E11" s="14" t="s">
        <v>2089</v>
      </c>
      <c r="F11" s="14" t="s">
        <v>2090</v>
      </c>
    </row>
    <row r="12" customFormat="false" ht="23.85" hidden="false" customHeight="false" outlineLevel="0" collapsed="false">
      <c r="A12" s="11" t="s">
        <v>1303</v>
      </c>
      <c r="B12" s="11" t="s">
        <v>2091</v>
      </c>
      <c r="C12" s="11" t="n">
        <v>12</v>
      </c>
      <c r="D12" s="13" t="n">
        <v>478644.5</v>
      </c>
      <c r="E12" s="14" t="s">
        <v>2092</v>
      </c>
      <c r="F12" s="14" t="s">
        <v>2093</v>
      </c>
    </row>
    <row r="13" customFormat="false" ht="23.85" hidden="false" customHeight="false" outlineLevel="0" collapsed="false">
      <c r="A13" s="11" t="s">
        <v>1644</v>
      </c>
      <c r="B13" s="11" t="s">
        <v>2094</v>
      </c>
      <c r="C13" s="11" t="n">
        <v>12</v>
      </c>
      <c r="D13" s="13" t="n">
        <v>260046</v>
      </c>
      <c r="E13" s="14" t="s">
        <v>2095</v>
      </c>
      <c r="F13" s="14" t="s">
        <v>2096</v>
      </c>
    </row>
    <row r="14" customFormat="false" ht="23.85" hidden="false" customHeight="false" outlineLevel="0" collapsed="false">
      <c r="A14" s="11" t="s">
        <v>1469</v>
      </c>
      <c r="B14" s="11" t="s">
        <v>2097</v>
      </c>
      <c r="C14" s="11" t="n">
        <v>11</v>
      </c>
      <c r="D14" s="13" t="n">
        <v>234961.92</v>
      </c>
      <c r="E14" s="14" t="s">
        <v>2098</v>
      </c>
      <c r="F14" s="14" t="s">
        <v>2099</v>
      </c>
    </row>
    <row r="15" customFormat="false" ht="46.25" hidden="false" customHeight="false" outlineLevel="0" collapsed="false">
      <c r="A15" s="11" t="s">
        <v>1651</v>
      </c>
      <c r="B15" s="11" t="s">
        <v>2100</v>
      </c>
      <c r="C15" s="11" t="n">
        <v>11</v>
      </c>
      <c r="D15" s="13" t="n">
        <v>1248135.42</v>
      </c>
      <c r="E15" s="14" t="s">
        <v>2101</v>
      </c>
      <c r="F15" s="14" t="s">
        <v>2102</v>
      </c>
    </row>
    <row r="16" customFormat="false" ht="46.25" hidden="false" customHeight="false" outlineLevel="0" collapsed="false">
      <c r="A16" s="11" t="s">
        <v>1872</v>
      </c>
      <c r="B16" s="11" t="s">
        <v>2103</v>
      </c>
      <c r="C16" s="11" t="n">
        <v>10</v>
      </c>
      <c r="D16" s="13" t="n">
        <v>874000</v>
      </c>
      <c r="E16" s="14" t="s">
        <v>2104</v>
      </c>
      <c r="F16" s="14" t="s">
        <v>2105</v>
      </c>
    </row>
    <row r="17" customFormat="false" ht="35.05" hidden="false" customHeight="false" outlineLevel="0" collapsed="false">
      <c r="A17" s="11" t="s">
        <v>2106</v>
      </c>
      <c r="B17" s="11" t="s">
        <v>2107</v>
      </c>
      <c r="C17" s="11" t="n">
        <v>10</v>
      </c>
      <c r="D17" s="13" t="n">
        <v>501711.07</v>
      </c>
      <c r="E17" s="14" t="s">
        <v>2108</v>
      </c>
      <c r="F17" s="14" t="s">
        <v>2109</v>
      </c>
    </row>
    <row r="18" customFormat="false" ht="35.05" hidden="false" customHeight="false" outlineLevel="0" collapsed="false">
      <c r="A18" s="11" t="s">
        <v>1395</v>
      </c>
      <c r="B18" s="11" t="s">
        <v>2110</v>
      </c>
      <c r="C18" s="11" t="n">
        <v>10</v>
      </c>
      <c r="D18" s="13" t="n">
        <v>644300</v>
      </c>
      <c r="E18" s="14" t="s">
        <v>2104</v>
      </c>
      <c r="F18" s="14" t="s">
        <v>2111</v>
      </c>
    </row>
    <row r="19" customFormat="false" ht="35.05" hidden="false" customHeight="false" outlineLevel="0" collapsed="false">
      <c r="A19" s="11" t="s">
        <v>1254</v>
      </c>
      <c r="B19" s="11" t="s">
        <v>2112</v>
      </c>
      <c r="C19" s="11" t="n">
        <v>9</v>
      </c>
      <c r="D19" s="13" t="n">
        <v>256329.03</v>
      </c>
      <c r="E19" s="14" t="s">
        <v>2113</v>
      </c>
      <c r="F19" s="14" t="s">
        <v>2114</v>
      </c>
    </row>
    <row r="20" customFormat="false" ht="35.05" hidden="false" customHeight="false" outlineLevel="0" collapsed="false">
      <c r="A20" s="11" t="s">
        <v>2115</v>
      </c>
      <c r="B20" s="11" t="s">
        <v>2116</v>
      </c>
      <c r="C20" s="11" t="n">
        <v>9</v>
      </c>
      <c r="D20" s="13" t="n">
        <v>576436.48</v>
      </c>
      <c r="E20" s="14" t="s">
        <v>2113</v>
      </c>
      <c r="F20" s="14" t="s">
        <v>2117</v>
      </c>
    </row>
    <row r="21" customFormat="false" ht="46.25" hidden="false" customHeight="false" outlineLevel="0" collapsed="false">
      <c r="A21" s="11" t="s">
        <v>2118</v>
      </c>
      <c r="B21" s="11" t="s">
        <v>2119</v>
      </c>
      <c r="C21" s="11" t="n">
        <v>9</v>
      </c>
      <c r="D21" s="13" t="n">
        <v>139269.01</v>
      </c>
      <c r="E21" s="14" t="s">
        <v>2113</v>
      </c>
      <c r="F21" s="14" t="s">
        <v>2120</v>
      </c>
    </row>
    <row r="22" customFormat="false" ht="57.45" hidden="false" customHeight="false" outlineLevel="0" collapsed="false">
      <c r="A22" s="11" t="s">
        <v>1554</v>
      </c>
      <c r="B22" s="11" t="s">
        <v>2121</v>
      </c>
      <c r="C22" s="11" t="n">
        <v>9</v>
      </c>
      <c r="D22" s="13" t="n">
        <v>266185.65</v>
      </c>
      <c r="E22" s="14" t="s">
        <v>2122</v>
      </c>
      <c r="F22" s="14" t="s">
        <v>2123</v>
      </c>
    </row>
    <row r="23" customFormat="false" ht="23.85" hidden="false" customHeight="false" outlineLevel="0" collapsed="false">
      <c r="A23" s="11" t="s">
        <v>2124</v>
      </c>
      <c r="B23" s="11" t="s">
        <v>2125</v>
      </c>
      <c r="C23" s="11" t="n">
        <v>9</v>
      </c>
      <c r="D23" s="13" t="n">
        <v>294486.4</v>
      </c>
      <c r="E23" s="14" t="s">
        <v>2113</v>
      </c>
      <c r="F23" s="14" t="s">
        <v>2126</v>
      </c>
    </row>
    <row r="24" customFormat="false" ht="35.05" hidden="false" customHeight="false" outlineLevel="0" collapsed="false">
      <c r="A24" s="11" t="s">
        <v>1710</v>
      </c>
      <c r="B24" s="11" t="s">
        <v>2127</v>
      </c>
      <c r="C24" s="11" t="n">
        <v>8</v>
      </c>
      <c r="D24" s="13" t="n">
        <v>75347.55</v>
      </c>
      <c r="E24" s="14" t="s">
        <v>2128</v>
      </c>
      <c r="F24" s="14" t="s">
        <v>2129</v>
      </c>
    </row>
    <row r="25" customFormat="false" ht="46.25" hidden="false" customHeight="false" outlineLevel="0" collapsed="false">
      <c r="A25" s="11" t="s">
        <v>1478</v>
      </c>
      <c r="B25" s="11" t="s">
        <v>2130</v>
      </c>
      <c r="C25" s="11" t="n">
        <v>8</v>
      </c>
      <c r="D25" s="13" t="n">
        <v>307007.44</v>
      </c>
      <c r="E25" s="14" t="s">
        <v>2131</v>
      </c>
      <c r="F25" s="14" t="s">
        <v>2132</v>
      </c>
    </row>
    <row r="26" customFormat="false" ht="23.85" hidden="false" customHeight="false" outlineLevel="0" collapsed="false">
      <c r="A26" s="11" t="s">
        <v>1113</v>
      </c>
      <c r="B26" s="11" t="s">
        <v>2133</v>
      </c>
      <c r="C26" s="11" t="n">
        <v>8</v>
      </c>
      <c r="D26" s="13" t="n">
        <v>160669.48</v>
      </c>
      <c r="E26" s="14" t="s">
        <v>2134</v>
      </c>
      <c r="F26" s="14" t="s">
        <v>2135</v>
      </c>
    </row>
    <row r="27" customFormat="false" ht="23.85" hidden="false" customHeight="false" outlineLevel="0" collapsed="false">
      <c r="A27" s="11" t="s">
        <v>1309</v>
      </c>
      <c r="B27" s="11" t="s">
        <v>2136</v>
      </c>
      <c r="C27" s="11" t="n">
        <v>8</v>
      </c>
      <c r="D27" s="13" t="n">
        <v>782047.92</v>
      </c>
      <c r="E27" s="14" t="s">
        <v>2131</v>
      </c>
      <c r="F27" s="14" t="s">
        <v>2137</v>
      </c>
    </row>
    <row r="28" customFormat="false" ht="35.05" hidden="false" customHeight="false" outlineLevel="0" collapsed="false">
      <c r="A28" s="11" t="s">
        <v>1263</v>
      </c>
      <c r="B28" s="11" t="s">
        <v>2138</v>
      </c>
      <c r="C28" s="11" t="n">
        <v>8</v>
      </c>
      <c r="D28" s="13" t="n">
        <v>2137336.52</v>
      </c>
      <c r="E28" s="14" t="s">
        <v>2131</v>
      </c>
      <c r="F28" s="14" t="s">
        <v>2139</v>
      </c>
    </row>
    <row r="29" customFormat="false" ht="23.85" hidden="false" customHeight="false" outlineLevel="0" collapsed="false">
      <c r="A29" s="11" t="s">
        <v>1386</v>
      </c>
      <c r="B29" s="11" t="s">
        <v>2140</v>
      </c>
      <c r="C29" s="11" t="n">
        <v>7</v>
      </c>
      <c r="D29" s="13" t="n">
        <v>153272.66</v>
      </c>
      <c r="E29" s="14" t="s">
        <v>2141</v>
      </c>
      <c r="F29" s="14" t="s">
        <v>2142</v>
      </c>
    </row>
    <row r="30" customFormat="false" ht="35.05" hidden="false" customHeight="false" outlineLevel="0" collapsed="false">
      <c r="A30" s="11" t="s">
        <v>2143</v>
      </c>
      <c r="B30" s="11" t="s">
        <v>2144</v>
      </c>
      <c r="C30" s="11" t="n">
        <v>7</v>
      </c>
      <c r="D30" s="13" t="n">
        <v>504662.63</v>
      </c>
      <c r="E30" s="14" t="s">
        <v>2145</v>
      </c>
      <c r="F30" s="14" t="s">
        <v>2146</v>
      </c>
    </row>
    <row r="31" customFormat="false" ht="35.05" hidden="false" customHeight="false" outlineLevel="0" collapsed="false">
      <c r="A31" s="11" t="s">
        <v>1148</v>
      </c>
      <c r="B31" s="11" t="s">
        <v>2147</v>
      </c>
      <c r="C31" s="11" t="n">
        <v>7</v>
      </c>
      <c r="D31" s="13" t="n">
        <v>557920.03</v>
      </c>
      <c r="E31" s="14" t="s">
        <v>2145</v>
      </c>
      <c r="F31" s="14" t="s">
        <v>2148</v>
      </c>
    </row>
    <row r="32" customFormat="false" ht="15" hidden="false" customHeight="false" outlineLevel="0" collapsed="false">
      <c r="A32" s="11" t="s">
        <v>2149</v>
      </c>
      <c r="B32" s="11"/>
      <c r="C32" s="11" t="n">
        <v>7</v>
      </c>
      <c r="D32" s="13" t="n">
        <v>8250</v>
      </c>
      <c r="E32" s="14" t="s">
        <v>2150</v>
      </c>
      <c r="F32" s="14" t="s">
        <v>2151</v>
      </c>
    </row>
    <row r="33" customFormat="false" ht="23.85" hidden="false" customHeight="false" outlineLevel="0" collapsed="false">
      <c r="A33" s="11" t="s">
        <v>1412</v>
      </c>
      <c r="B33" s="11" t="s">
        <v>2152</v>
      </c>
      <c r="C33" s="11" t="n">
        <v>7</v>
      </c>
      <c r="D33" s="13" t="n">
        <v>165000</v>
      </c>
      <c r="E33" s="14" t="s">
        <v>2145</v>
      </c>
      <c r="F33" s="14" t="s">
        <v>2153</v>
      </c>
    </row>
    <row r="34" customFormat="false" ht="23.85" hidden="false" customHeight="false" outlineLevel="0" collapsed="false">
      <c r="A34" s="11" t="s">
        <v>1343</v>
      </c>
      <c r="B34" s="11" t="s">
        <v>2154</v>
      </c>
      <c r="C34" s="11" t="n">
        <v>7</v>
      </c>
      <c r="D34" s="13" t="n">
        <v>196733</v>
      </c>
      <c r="E34" s="14" t="s">
        <v>2145</v>
      </c>
      <c r="F34" s="14" t="s">
        <v>2155</v>
      </c>
    </row>
    <row r="35" customFormat="false" ht="35.05" hidden="false" customHeight="false" outlineLevel="0" collapsed="false">
      <c r="A35" s="11" t="s">
        <v>2156</v>
      </c>
      <c r="B35" s="11" t="s">
        <v>2157</v>
      </c>
      <c r="C35" s="11" t="n">
        <v>7</v>
      </c>
      <c r="D35" s="13" t="n">
        <v>191142.83</v>
      </c>
      <c r="E35" s="14" t="s">
        <v>2145</v>
      </c>
      <c r="F35" s="14" t="s">
        <v>2158</v>
      </c>
    </row>
    <row r="36" customFormat="false" ht="46.25" hidden="false" customHeight="false" outlineLevel="0" collapsed="false">
      <c r="A36" s="11" t="s">
        <v>1699</v>
      </c>
      <c r="B36" s="11" t="s">
        <v>2159</v>
      </c>
      <c r="C36" s="11" t="n">
        <v>7</v>
      </c>
      <c r="D36" s="13" t="n">
        <v>175023.1</v>
      </c>
      <c r="E36" s="14" t="s">
        <v>2145</v>
      </c>
      <c r="F36" s="14" t="s">
        <v>2160</v>
      </c>
    </row>
    <row r="37" customFormat="false" ht="35.05" hidden="false" customHeight="false" outlineLevel="0" collapsed="false">
      <c r="A37" s="11" t="s">
        <v>1319</v>
      </c>
      <c r="B37" s="11" t="s">
        <v>2161</v>
      </c>
      <c r="C37" s="11" t="n">
        <v>6</v>
      </c>
      <c r="D37" s="13" t="n">
        <v>143287.44</v>
      </c>
      <c r="E37" s="14" t="s">
        <v>2162</v>
      </c>
      <c r="F37" s="14" t="s">
        <v>2163</v>
      </c>
    </row>
    <row r="38" customFormat="false" ht="46.25" hidden="false" customHeight="false" outlineLevel="0" collapsed="false">
      <c r="A38" s="11" t="s">
        <v>1506</v>
      </c>
      <c r="B38" s="11" t="s">
        <v>2164</v>
      </c>
      <c r="C38" s="11" t="n">
        <v>6</v>
      </c>
      <c r="D38" s="13" t="n">
        <v>61107.5</v>
      </c>
      <c r="E38" s="14" t="s">
        <v>2165</v>
      </c>
      <c r="F38" s="14" t="s">
        <v>2166</v>
      </c>
    </row>
    <row r="39" customFormat="false" ht="35.05" hidden="false" customHeight="false" outlineLevel="0" collapsed="false">
      <c r="A39" s="11" t="s">
        <v>1214</v>
      </c>
      <c r="B39" s="11" t="s">
        <v>2167</v>
      </c>
      <c r="C39" s="11" t="n">
        <v>6</v>
      </c>
      <c r="D39" s="13" t="n">
        <v>216516.5</v>
      </c>
      <c r="E39" s="14" t="s">
        <v>2162</v>
      </c>
      <c r="F39" s="14" t="s">
        <v>2168</v>
      </c>
    </row>
    <row r="40" customFormat="false" ht="35.05" hidden="false" customHeight="false" outlineLevel="0" collapsed="false">
      <c r="A40" s="11" t="s">
        <v>1920</v>
      </c>
      <c r="B40" s="11" t="s">
        <v>2169</v>
      </c>
      <c r="C40" s="11" t="n">
        <v>6</v>
      </c>
      <c r="D40" s="13" t="n">
        <v>88738.65</v>
      </c>
      <c r="E40" s="14" t="s">
        <v>2162</v>
      </c>
      <c r="F40" s="14" t="s">
        <v>2170</v>
      </c>
    </row>
    <row r="41" customFormat="false" ht="23.85" hidden="false" customHeight="false" outlineLevel="0" collapsed="false">
      <c r="A41" s="11" t="s">
        <v>1243</v>
      </c>
      <c r="B41" s="11" t="s">
        <v>2171</v>
      </c>
      <c r="C41" s="11" t="n">
        <v>6</v>
      </c>
      <c r="D41" s="13" t="n">
        <v>79761.06</v>
      </c>
      <c r="E41" s="14" t="s">
        <v>2162</v>
      </c>
      <c r="F41" s="14" t="s">
        <v>2172</v>
      </c>
    </row>
    <row r="42" customFormat="false" ht="35.05" hidden="false" customHeight="false" outlineLevel="0" collapsed="false">
      <c r="A42" s="11" t="s">
        <v>1242</v>
      </c>
      <c r="B42" s="11" t="s">
        <v>2173</v>
      </c>
      <c r="C42" s="11" t="n">
        <v>6</v>
      </c>
      <c r="D42" s="13" t="n">
        <v>341727.37</v>
      </c>
      <c r="E42" s="14" t="s">
        <v>2162</v>
      </c>
      <c r="F42" s="14" t="s">
        <v>2174</v>
      </c>
    </row>
    <row r="43" customFormat="false" ht="35.05" hidden="false" customHeight="false" outlineLevel="0" collapsed="false">
      <c r="A43" s="11" t="s">
        <v>1423</v>
      </c>
      <c r="B43" s="11" t="s">
        <v>2175</v>
      </c>
      <c r="C43" s="11" t="n">
        <v>6</v>
      </c>
      <c r="D43" s="13" t="n">
        <v>67065.58</v>
      </c>
      <c r="E43" s="14" t="s">
        <v>2162</v>
      </c>
      <c r="F43" s="14" t="s">
        <v>2176</v>
      </c>
    </row>
    <row r="44" customFormat="false" ht="35.05" hidden="false" customHeight="false" outlineLevel="0" collapsed="false">
      <c r="A44" s="11" t="s">
        <v>2177</v>
      </c>
      <c r="B44" s="11" t="s">
        <v>2178</v>
      </c>
      <c r="C44" s="11" t="n">
        <v>6</v>
      </c>
      <c r="D44" s="13" t="n">
        <v>194384</v>
      </c>
      <c r="E44" s="14" t="s">
        <v>2162</v>
      </c>
      <c r="F44" s="14" t="s">
        <v>2179</v>
      </c>
    </row>
    <row r="45" customFormat="false" ht="23.85" hidden="false" customHeight="false" outlineLevel="0" collapsed="false">
      <c r="A45" s="11" t="s">
        <v>1208</v>
      </c>
      <c r="B45" s="11" t="s">
        <v>2180</v>
      </c>
      <c r="C45" s="11" t="n">
        <v>6</v>
      </c>
      <c r="D45" s="13" t="n">
        <v>269224.94</v>
      </c>
      <c r="E45" s="14" t="s">
        <v>2162</v>
      </c>
      <c r="F45" s="14" t="s">
        <v>2181</v>
      </c>
    </row>
    <row r="46" customFormat="false" ht="35.05" hidden="false" customHeight="false" outlineLevel="0" collapsed="false">
      <c r="A46" s="11" t="s">
        <v>2182</v>
      </c>
      <c r="B46" s="11" t="s">
        <v>2183</v>
      </c>
      <c r="C46" s="11" t="n">
        <v>6</v>
      </c>
      <c r="D46" s="13" t="n">
        <v>156853</v>
      </c>
      <c r="E46" s="14" t="s">
        <v>2162</v>
      </c>
      <c r="F46" s="14" t="s">
        <v>2184</v>
      </c>
    </row>
    <row r="47" customFormat="false" ht="35.05" hidden="false" customHeight="false" outlineLevel="0" collapsed="false">
      <c r="A47" s="11" t="s">
        <v>1986</v>
      </c>
      <c r="B47" s="11" t="s">
        <v>2185</v>
      </c>
      <c r="C47" s="11" t="n">
        <v>6</v>
      </c>
      <c r="D47" s="13" t="n">
        <v>58180.7</v>
      </c>
      <c r="E47" s="14" t="s">
        <v>2186</v>
      </c>
      <c r="F47" s="14" t="s">
        <v>2187</v>
      </c>
    </row>
    <row r="48" customFormat="false" ht="35.05" hidden="false" customHeight="false" outlineLevel="0" collapsed="false">
      <c r="A48" s="11" t="s">
        <v>1999</v>
      </c>
      <c r="B48" s="11" t="s">
        <v>2188</v>
      </c>
      <c r="C48" s="11" t="n">
        <v>6</v>
      </c>
      <c r="D48" s="13" t="n">
        <v>268300</v>
      </c>
      <c r="E48" s="14" t="s">
        <v>2165</v>
      </c>
      <c r="F48" s="14" t="s">
        <v>2189</v>
      </c>
    </row>
    <row r="49" customFormat="false" ht="35.05" hidden="false" customHeight="false" outlineLevel="0" collapsed="false">
      <c r="A49" s="11" t="s">
        <v>2190</v>
      </c>
      <c r="B49" s="11" t="s">
        <v>2191</v>
      </c>
      <c r="C49" s="11" t="n">
        <v>6</v>
      </c>
      <c r="D49" s="13" t="n">
        <v>53876.92</v>
      </c>
      <c r="E49" s="14" t="s">
        <v>2162</v>
      </c>
      <c r="F49" s="14" t="s">
        <v>2192</v>
      </c>
    </row>
    <row r="50" customFormat="false" ht="35.05" hidden="false" customHeight="false" outlineLevel="0" collapsed="false">
      <c r="A50" s="11" t="s">
        <v>1231</v>
      </c>
      <c r="B50" s="11" t="s">
        <v>2193</v>
      </c>
      <c r="C50" s="11" t="n">
        <v>5</v>
      </c>
      <c r="D50" s="13" t="n">
        <v>71200.35</v>
      </c>
      <c r="E50" s="14" t="s">
        <v>2194</v>
      </c>
      <c r="F50" s="14" t="s">
        <v>2195</v>
      </c>
    </row>
    <row r="51" customFormat="false" ht="35.05" hidden="false" customHeight="false" outlineLevel="0" collapsed="false">
      <c r="A51" s="11" t="s">
        <v>1224</v>
      </c>
      <c r="B51" s="11" t="s">
        <v>2196</v>
      </c>
      <c r="C51" s="11" t="n">
        <v>5</v>
      </c>
      <c r="D51" s="13" t="n">
        <v>563682.15</v>
      </c>
      <c r="E51" s="14" t="s">
        <v>2194</v>
      </c>
      <c r="F51" s="14" t="s">
        <v>2197</v>
      </c>
    </row>
    <row r="52" customFormat="false" ht="23.85" hidden="false" customHeight="false" outlineLevel="0" collapsed="false">
      <c r="A52" s="11" t="s">
        <v>1307</v>
      </c>
      <c r="B52" s="11" t="s">
        <v>2198</v>
      </c>
      <c r="C52" s="11" t="n">
        <v>5</v>
      </c>
      <c r="D52" s="13" t="n">
        <v>129250</v>
      </c>
      <c r="E52" s="14" t="s">
        <v>2194</v>
      </c>
      <c r="F52" s="14" t="s">
        <v>2199</v>
      </c>
    </row>
    <row r="53" customFormat="false" ht="23.85" hidden="false" customHeight="false" outlineLevel="0" collapsed="false">
      <c r="A53" s="11" t="s">
        <v>1360</v>
      </c>
      <c r="B53" s="11" t="s">
        <v>2200</v>
      </c>
      <c r="C53" s="11" t="n">
        <v>5</v>
      </c>
      <c r="D53" s="13" t="n">
        <v>151277.1</v>
      </c>
      <c r="E53" s="14" t="s">
        <v>2194</v>
      </c>
      <c r="F53" s="14" t="s">
        <v>2201</v>
      </c>
    </row>
    <row r="54" customFormat="false" ht="46.25" hidden="false" customHeight="false" outlineLevel="0" collapsed="false">
      <c r="A54" s="11" t="s">
        <v>1285</v>
      </c>
      <c r="B54" s="11" t="s">
        <v>2202</v>
      </c>
      <c r="C54" s="11" t="n">
        <v>5</v>
      </c>
      <c r="D54" s="13" t="n">
        <v>202049.42</v>
      </c>
      <c r="E54" s="14" t="s">
        <v>2194</v>
      </c>
      <c r="F54" s="14" t="s">
        <v>2203</v>
      </c>
    </row>
    <row r="55" customFormat="false" ht="23.85" hidden="false" customHeight="false" outlineLevel="0" collapsed="false">
      <c r="A55" s="11" t="s">
        <v>1821</v>
      </c>
      <c r="B55" s="11" t="s">
        <v>2204</v>
      </c>
      <c r="C55" s="11" t="n">
        <v>5</v>
      </c>
      <c r="D55" s="13" t="n">
        <v>151632.49</v>
      </c>
      <c r="E55" s="14" t="s">
        <v>2194</v>
      </c>
      <c r="F55" s="14" t="s">
        <v>2205</v>
      </c>
    </row>
    <row r="56" customFormat="false" ht="23.85" hidden="false" customHeight="false" outlineLevel="0" collapsed="false">
      <c r="A56" s="11" t="s">
        <v>2206</v>
      </c>
      <c r="B56" s="11" t="s">
        <v>2207</v>
      </c>
      <c r="C56" s="11" t="n">
        <v>5</v>
      </c>
      <c r="D56" s="13" t="n">
        <v>51800</v>
      </c>
      <c r="E56" s="14" t="s">
        <v>2194</v>
      </c>
      <c r="F56" s="14" t="s">
        <v>2208</v>
      </c>
    </row>
    <row r="57" customFormat="false" ht="35.05" hidden="false" customHeight="false" outlineLevel="0" collapsed="false">
      <c r="A57" s="11" t="s">
        <v>1889</v>
      </c>
      <c r="B57" s="11" t="s">
        <v>2209</v>
      </c>
      <c r="C57" s="11" t="n">
        <v>5</v>
      </c>
      <c r="D57" s="13" t="n">
        <v>34635.83</v>
      </c>
      <c r="E57" s="14" t="s">
        <v>2194</v>
      </c>
      <c r="F57" s="14" t="s">
        <v>2210</v>
      </c>
    </row>
    <row r="58" customFormat="false" ht="35.05" hidden="false" customHeight="false" outlineLevel="0" collapsed="false">
      <c r="A58" s="11" t="s">
        <v>2211</v>
      </c>
      <c r="B58" s="11" t="s">
        <v>2212</v>
      </c>
      <c r="C58" s="11" t="n">
        <v>5</v>
      </c>
      <c r="D58" s="13" t="n">
        <v>413600</v>
      </c>
      <c r="E58" s="14" t="s">
        <v>2213</v>
      </c>
      <c r="F58" s="14" t="s">
        <v>2214</v>
      </c>
    </row>
    <row r="59" customFormat="false" ht="23.85" hidden="false" customHeight="false" outlineLevel="0" collapsed="false">
      <c r="A59" s="11" t="s">
        <v>1728</v>
      </c>
      <c r="B59" s="11" t="s">
        <v>2215</v>
      </c>
      <c r="C59" s="11" t="n">
        <v>5</v>
      </c>
      <c r="D59" s="13" t="n">
        <v>56821.17</v>
      </c>
      <c r="E59" s="14" t="s">
        <v>2216</v>
      </c>
      <c r="F59" s="14" t="s">
        <v>2217</v>
      </c>
    </row>
    <row r="60" customFormat="false" ht="23.85" hidden="false" customHeight="false" outlineLevel="0" collapsed="false">
      <c r="A60" s="11" t="s">
        <v>2218</v>
      </c>
      <c r="B60" s="11" t="s">
        <v>2219</v>
      </c>
      <c r="C60" s="11" t="n">
        <v>5</v>
      </c>
      <c r="D60" s="13" t="n">
        <v>435817.83</v>
      </c>
      <c r="E60" s="14" t="s">
        <v>2194</v>
      </c>
      <c r="F60" s="14" t="s">
        <v>2220</v>
      </c>
    </row>
    <row r="61" customFormat="false" ht="35.05" hidden="false" customHeight="false" outlineLevel="0" collapsed="false">
      <c r="A61" s="11" t="s">
        <v>2221</v>
      </c>
      <c r="B61" s="11" t="s">
        <v>2222</v>
      </c>
      <c r="C61" s="11" t="n">
        <v>5</v>
      </c>
      <c r="D61" s="13" t="n">
        <v>107233.19</v>
      </c>
      <c r="E61" s="14" t="s">
        <v>2194</v>
      </c>
      <c r="F61" s="14" t="s">
        <v>2223</v>
      </c>
    </row>
    <row r="62" customFormat="false" ht="15" hidden="false" customHeight="false" outlineLevel="0" collapsed="false">
      <c r="A62" s="11" t="s">
        <v>2224</v>
      </c>
      <c r="B62" s="11" t="s">
        <v>2225</v>
      </c>
      <c r="C62" s="11" t="n">
        <v>5</v>
      </c>
      <c r="D62" s="13" t="n">
        <v>130409.04</v>
      </c>
      <c r="E62" s="14" t="s">
        <v>2194</v>
      </c>
      <c r="F62" s="14" t="s">
        <v>2226</v>
      </c>
    </row>
    <row r="63" customFormat="false" ht="23.85" hidden="false" customHeight="false" outlineLevel="0" collapsed="false">
      <c r="A63" s="11" t="s">
        <v>1837</v>
      </c>
      <c r="B63" s="11" t="s">
        <v>2227</v>
      </c>
      <c r="C63" s="11" t="n">
        <v>5</v>
      </c>
      <c r="D63" s="13" t="n">
        <v>903563.55</v>
      </c>
      <c r="E63" s="14" t="s">
        <v>2228</v>
      </c>
      <c r="F63" s="14" t="s">
        <v>2229</v>
      </c>
    </row>
    <row r="64" customFormat="false" ht="46.25" hidden="false" customHeight="false" outlineLevel="0" collapsed="false">
      <c r="A64" s="11" t="s">
        <v>1742</v>
      </c>
      <c r="B64" s="11" t="s">
        <v>2230</v>
      </c>
      <c r="C64" s="11" t="n">
        <v>5</v>
      </c>
      <c r="D64" s="13" t="n">
        <v>78720</v>
      </c>
      <c r="E64" s="14" t="s">
        <v>2194</v>
      </c>
      <c r="F64" s="14" t="s">
        <v>2231</v>
      </c>
    </row>
    <row r="65" customFormat="false" ht="23.85" hidden="false" customHeight="false" outlineLevel="0" collapsed="false">
      <c r="A65" s="11" t="s">
        <v>1577</v>
      </c>
      <c r="B65" s="11" t="s">
        <v>2232</v>
      </c>
      <c r="C65" s="11" t="n">
        <v>5</v>
      </c>
      <c r="D65" s="13" t="n">
        <v>79062.41</v>
      </c>
      <c r="E65" s="14" t="s">
        <v>2233</v>
      </c>
      <c r="F65" s="14" t="s">
        <v>2234</v>
      </c>
    </row>
    <row r="66" customFormat="false" ht="23.85" hidden="false" customHeight="false" outlineLevel="0" collapsed="false">
      <c r="A66" s="11" t="s">
        <v>2235</v>
      </c>
      <c r="B66" s="11" t="s">
        <v>2236</v>
      </c>
      <c r="C66" s="11" t="n">
        <v>5</v>
      </c>
      <c r="D66" s="13" t="n">
        <v>6961960.98</v>
      </c>
      <c r="E66" s="14" t="s">
        <v>2237</v>
      </c>
      <c r="F66" s="14" t="s">
        <v>2238</v>
      </c>
    </row>
    <row r="67" customFormat="false" ht="46.25" hidden="false" customHeight="false" outlineLevel="0" collapsed="false">
      <c r="A67" s="11" t="s">
        <v>2239</v>
      </c>
      <c r="B67" s="11" t="s">
        <v>2240</v>
      </c>
      <c r="C67" s="11" t="n">
        <v>5</v>
      </c>
      <c r="D67" s="13" t="n">
        <v>71380.76</v>
      </c>
      <c r="E67" s="14" t="s">
        <v>2194</v>
      </c>
      <c r="F67" s="14" t="s">
        <v>2241</v>
      </c>
    </row>
    <row r="68" customFormat="false" ht="46.25" hidden="false" customHeight="false" outlineLevel="0" collapsed="false">
      <c r="A68" s="11" t="s">
        <v>1628</v>
      </c>
      <c r="B68" s="11" t="s">
        <v>2242</v>
      </c>
      <c r="C68" s="11" t="n">
        <v>4</v>
      </c>
      <c r="D68" s="13" t="n">
        <v>177240</v>
      </c>
      <c r="E68" s="14" t="s">
        <v>2243</v>
      </c>
      <c r="F68" s="14" t="s">
        <v>2244</v>
      </c>
    </row>
    <row r="69" customFormat="false" ht="35.05" hidden="false" customHeight="false" outlineLevel="0" collapsed="false">
      <c r="A69" s="11" t="s">
        <v>1426</v>
      </c>
      <c r="B69" s="11" t="s">
        <v>2245</v>
      </c>
      <c r="C69" s="11" t="n">
        <v>4</v>
      </c>
      <c r="D69" s="13" t="n">
        <v>37078.68</v>
      </c>
      <c r="E69" s="14" t="s">
        <v>2246</v>
      </c>
      <c r="F69" s="14" t="s">
        <v>2247</v>
      </c>
    </row>
    <row r="70" customFormat="false" ht="23.85" hidden="false" customHeight="false" outlineLevel="0" collapsed="false">
      <c r="A70" s="11" t="s">
        <v>1116</v>
      </c>
      <c r="B70" s="11" t="s">
        <v>2248</v>
      </c>
      <c r="C70" s="11" t="n">
        <v>4</v>
      </c>
      <c r="D70" s="13" t="n">
        <v>135472</v>
      </c>
      <c r="E70" s="14" t="s">
        <v>2249</v>
      </c>
      <c r="F70" s="14" t="s">
        <v>2250</v>
      </c>
    </row>
    <row r="71" customFormat="false" ht="23.85" hidden="false" customHeight="false" outlineLevel="0" collapsed="false">
      <c r="A71" s="11" t="s">
        <v>1121</v>
      </c>
      <c r="B71" s="11" t="s">
        <v>2251</v>
      </c>
      <c r="C71" s="11" t="n">
        <v>4</v>
      </c>
      <c r="D71" s="13" t="n">
        <v>107339.11</v>
      </c>
      <c r="E71" s="14" t="s">
        <v>2252</v>
      </c>
      <c r="F71" s="14" t="s">
        <v>2253</v>
      </c>
    </row>
    <row r="72" customFormat="false" ht="23.85" hidden="false" customHeight="false" outlineLevel="0" collapsed="false">
      <c r="A72" s="11" t="s">
        <v>1276</v>
      </c>
      <c r="B72" s="11" t="s">
        <v>2254</v>
      </c>
      <c r="C72" s="11" t="n">
        <v>4</v>
      </c>
      <c r="D72" s="13" t="n">
        <v>573975.95</v>
      </c>
      <c r="E72" s="14" t="s">
        <v>2249</v>
      </c>
      <c r="F72" s="14" t="s">
        <v>2255</v>
      </c>
    </row>
    <row r="73" customFormat="false" ht="23.85" hidden="false" customHeight="false" outlineLevel="0" collapsed="false">
      <c r="A73" s="11" t="s">
        <v>1182</v>
      </c>
      <c r="B73" s="11" t="s">
        <v>2256</v>
      </c>
      <c r="C73" s="11" t="n">
        <v>4</v>
      </c>
      <c r="D73" s="13" t="n">
        <v>899131.24</v>
      </c>
      <c r="E73" s="14" t="s">
        <v>2249</v>
      </c>
      <c r="F73" s="14" t="s">
        <v>2257</v>
      </c>
    </row>
    <row r="74" customFormat="false" ht="23.85" hidden="false" customHeight="false" outlineLevel="0" collapsed="false">
      <c r="A74" s="11" t="s">
        <v>1883</v>
      </c>
      <c r="B74" s="11" t="s">
        <v>2258</v>
      </c>
      <c r="C74" s="11" t="n">
        <v>4</v>
      </c>
      <c r="D74" s="13" t="n">
        <v>27671.86</v>
      </c>
      <c r="E74" s="14" t="s">
        <v>2249</v>
      </c>
      <c r="F74" s="14" t="s">
        <v>2259</v>
      </c>
    </row>
    <row r="75" customFormat="false" ht="23.85" hidden="false" customHeight="false" outlineLevel="0" collapsed="false">
      <c r="A75" s="11" t="s">
        <v>1135</v>
      </c>
      <c r="B75" s="11" t="s">
        <v>2260</v>
      </c>
      <c r="C75" s="11" t="n">
        <v>4</v>
      </c>
      <c r="D75" s="13" t="n">
        <v>102707.96</v>
      </c>
      <c r="E75" s="14" t="s">
        <v>2249</v>
      </c>
      <c r="F75" s="14" t="s">
        <v>2261</v>
      </c>
    </row>
    <row r="76" customFormat="false" ht="35.05" hidden="false" customHeight="false" outlineLevel="0" collapsed="false">
      <c r="A76" s="11" t="s">
        <v>1321</v>
      </c>
      <c r="B76" s="11" t="s">
        <v>2262</v>
      </c>
      <c r="C76" s="11" t="n">
        <v>4</v>
      </c>
      <c r="D76" s="13" t="n">
        <v>98850</v>
      </c>
      <c r="E76" s="14" t="s">
        <v>2263</v>
      </c>
      <c r="F76" s="14" t="s">
        <v>2264</v>
      </c>
    </row>
    <row r="77" customFormat="false" ht="23.85" hidden="false" customHeight="false" outlineLevel="0" collapsed="false">
      <c r="A77" s="11" t="s">
        <v>1278</v>
      </c>
      <c r="B77" s="11" t="s">
        <v>2265</v>
      </c>
      <c r="C77" s="11" t="n">
        <v>4</v>
      </c>
      <c r="D77" s="13" t="n">
        <v>256016.65</v>
      </c>
      <c r="E77" s="14" t="s">
        <v>2249</v>
      </c>
      <c r="F77" s="14" t="s">
        <v>2266</v>
      </c>
    </row>
    <row r="78" customFormat="false" ht="23.85" hidden="false" customHeight="false" outlineLevel="0" collapsed="false">
      <c r="A78" s="11" t="s">
        <v>1326</v>
      </c>
      <c r="B78" s="11" t="s">
        <v>2267</v>
      </c>
      <c r="C78" s="11" t="n">
        <v>4</v>
      </c>
      <c r="D78" s="13" t="n">
        <v>251900</v>
      </c>
      <c r="E78" s="14" t="s">
        <v>2243</v>
      </c>
      <c r="F78" s="14" t="s">
        <v>2268</v>
      </c>
    </row>
    <row r="79" customFormat="false" ht="35.05" hidden="false" customHeight="false" outlineLevel="0" collapsed="false">
      <c r="A79" s="11" t="s">
        <v>2269</v>
      </c>
      <c r="B79" s="11" t="s">
        <v>2270</v>
      </c>
      <c r="C79" s="11" t="n">
        <v>4</v>
      </c>
      <c r="D79" s="13" t="n">
        <v>84809.8</v>
      </c>
      <c r="E79" s="14" t="s">
        <v>2249</v>
      </c>
      <c r="F79" s="14" t="s">
        <v>2271</v>
      </c>
    </row>
    <row r="80" customFormat="false" ht="46.25" hidden="false" customHeight="false" outlineLevel="0" collapsed="false">
      <c r="A80" s="11" t="s">
        <v>2019</v>
      </c>
      <c r="B80" s="11" t="s">
        <v>2272</v>
      </c>
      <c r="C80" s="11" t="n">
        <v>4</v>
      </c>
      <c r="D80" s="13" t="n">
        <v>58176.28</v>
      </c>
      <c r="E80" s="14" t="s">
        <v>2249</v>
      </c>
      <c r="F80" s="14" t="s">
        <v>2273</v>
      </c>
    </row>
    <row r="81" customFormat="false" ht="15" hidden="false" customHeight="false" outlineLevel="0" collapsed="false">
      <c r="A81" s="11" t="s">
        <v>2274</v>
      </c>
      <c r="B81" s="11" t="s">
        <v>2275</v>
      </c>
      <c r="C81" s="11" t="n">
        <v>4</v>
      </c>
      <c r="D81" s="13" t="n">
        <v>17400.45</v>
      </c>
      <c r="E81" s="14" t="s">
        <v>2276</v>
      </c>
      <c r="F81" s="14" t="s">
        <v>2277</v>
      </c>
    </row>
    <row r="82" customFormat="false" ht="15" hidden="false" customHeight="false" outlineLevel="0" collapsed="false">
      <c r="A82" s="11" t="s">
        <v>2278</v>
      </c>
      <c r="B82" s="11"/>
      <c r="C82" s="11" t="n">
        <v>4</v>
      </c>
      <c r="D82" s="13" t="n">
        <v>6000</v>
      </c>
      <c r="E82" s="14" t="s">
        <v>2279</v>
      </c>
      <c r="F82" s="14" t="s">
        <v>2280</v>
      </c>
    </row>
    <row r="83" customFormat="false" ht="15" hidden="false" customHeight="false" outlineLevel="0" collapsed="false">
      <c r="A83" s="11" t="s">
        <v>1447</v>
      </c>
      <c r="B83" s="11" t="s">
        <v>2281</v>
      </c>
      <c r="C83" s="11" t="n">
        <v>4</v>
      </c>
      <c r="D83" s="13" t="n">
        <v>216.24</v>
      </c>
      <c r="E83" s="14" t="s">
        <v>2282</v>
      </c>
      <c r="F83" s="14" t="s">
        <v>2283</v>
      </c>
    </row>
    <row r="84" customFormat="false" ht="23.85" hidden="false" customHeight="false" outlineLevel="0" collapsed="false">
      <c r="A84" s="11" t="s">
        <v>2284</v>
      </c>
      <c r="B84" s="11" t="s">
        <v>2285</v>
      </c>
      <c r="C84" s="11" t="n">
        <v>4</v>
      </c>
      <c r="D84" s="13" t="n">
        <v>132303.61</v>
      </c>
      <c r="E84" s="14" t="s">
        <v>2249</v>
      </c>
      <c r="F84" s="14" t="s">
        <v>2286</v>
      </c>
    </row>
    <row r="85" customFormat="false" ht="35.05" hidden="false" customHeight="false" outlineLevel="0" collapsed="false">
      <c r="A85" s="11" t="s">
        <v>2287</v>
      </c>
      <c r="B85" s="11" t="s">
        <v>2288</v>
      </c>
      <c r="C85" s="11" t="n">
        <v>4</v>
      </c>
      <c r="D85" s="13" t="n">
        <v>83971.58</v>
      </c>
      <c r="E85" s="14" t="s">
        <v>2249</v>
      </c>
      <c r="F85" s="14" t="s">
        <v>2289</v>
      </c>
    </row>
    <row r="86" customFormat="false" ht="23.85" hidden="false" customHeight="false" outlineLevel="0" collapsed="false">
      <c r="A86" s="11" t="s">
        <v>2290</v>
      </c>
      <c r="B86" s="11" t="s">
        <v>2291</v>
      </c>
      <c r="C86" s="11" t="n">
        <v>4</v>
      </c>
      <c r="D86" s="13" t="n">
        <v>423988.28</v>
      </c>
      <c r="E86" s="14" t="s">
        <v>2243</v>
      </c>
      <c r="F86" s="14" t="s">
        <v>2292</v>
      </c>
    </row>
    <row r="87" customFormat="false" ht="23.85" hidden="false" customHeight="false" outlineLevel="0" collapsed="false">
      <c r="A87" s="11" t="s">
        <v>1715</v>
      </c>
      <c r="B87" s="11" t="s">
        <v>2293</v>
      </c>
      <c r="C87" s="11" t="n">
        <v>4</v>
      </c>
      <c r="D87" s="13" t="n">
        <v>721684.07</v>
      </c>
      <c r="E87" s="14" t="s">
        <v>2249</v>
      </c>
      <c r="F87" s="14" t="s">
        <v>2294</v>
      </c>
    </row>
    <row r="88" customFormat="false" ht="35.05" hidden="false" customHeight="false" outlineLevel="0" collapsed="false">
      <c r="A88" s="11" t="s">
        <v>2295</v>
      </c>
      <c r="B88" s="11" t="s">
        <v>2296</v>
      </c>
      <c r="C88" s="11" t="n">
        <v>4</v>
      </c>
      <c r="D88" s="13" t="n">
        <v>75442.75</v>
      </c>
      <c r="E88" s="14" t="s">
        <v>2249</v>
      </c>
      <c r="F88" s="14" t="s">
        <v>2297</v>
      </c>
    </row>
    <row r="89" customFormat="false" ht="35.05" hidden="false" customHeight="false" outlineLevel="0" collapsed="false">
      <c r="A89" s="11" t="s">
        <v>2298</v>
      </c>
      <c r="B89" s="11" t="s">
        <v>2299</v>
      </c>
      <c r="C89" s="11" t="n">
        <v>4</v>
      </c>
      <c r="D89" s="13" t="n">
        <v>462362.29</v>
      </c>
      <c r="E89" s="14" t="s">
        <v>2249</v>
      </c>
      <c r="F89" s="14" t="s">
        <v>2300</v>
      </c>
    </row>
    <row r="90" customFormat="false" ht="23.85" hidden="false" customHeight="false" outlineLevel="0" collapsed="false">
      <c r="A90" s="11" t="s">
        <v>1982</v>
      </c>
      <c r="B90" s="11" t="s">
        <v>2301</v>
      </c>
      <c r="C90" s="11" t="n">
        <v>4</v>
      </c>
      <c r="D90" s="13" t="n">
        <v>76850</v>
      </c>
      <c r="E90" s="14" t="s">
        <v>2243</v>
      </c>
      <c r="F90" s="14" t="s">
        <v>2302</v>
      </c>
    </row>
    <row r="91" customFormat="false" ht="23.85" hidden="false" customHeight="false" outlineLevel="0" collapsed="false">
      <c r="A91" s="11" t="s">
        <v>2303</v>
      </c>
      <c r="B91" s="11" t="s">
        <v>2304</v>
      </c>
      <c r="C91" s="11" t="n">
        <v>4</v>
      </c>
      <c r="D91" s="13" t="n">
        <v>338328.3</v>
      </c>
      <c r="E91" s="14" t="s">
        <v>2249</v>
      </c>
      <c r="F91" s="14" t="s">
        <v>2305</v>
      </c>
    </row>
    <row r="92" customFormat="false" ht="35.05" hidden="false" customHeight="false" outlineLevel="0" collapsed="false">
      <c r="A92" s="11" t="s">
        <v>1581</v>
      </c>
      <c r="B92" s="11" t="s">
        <v>2306</v>
      </c>
      <c r="C92" s="11" t="n">
        <v>4</v>
      </c>
      <c r="D92" s="13" t="n">
        <v>69250</v>
      </c>
      <c r="E92" s="14" t="s">
        <v>2307</v>
      </c>
      <c r="F92" s="14" t="s">
        <v>2308</v>
      </c>
    </row>
    <row r="93" customFormat="false" ht="15" hidden="false" customHeight="false" outlineLevel="0" collapsed="false">
      <c r="A93" s="11" t="s">
        <v>2309</v>
      </c>
      <c r="B93" s="11" t="s">
        <v>2310</v>
      </c>
      <c r="C93" s="11" t="n">
        <v>4</v>
      </c>
      <c r="D93" s="13" t="n">
        <v>1206973.47</v>
      </c>
      <c r="E93" s="14" t="s">
        <v>2311</v>
      </c>
      <c r="F93" s="14" t="s">
        <v>2312</v>
      </c>
    </row>
    <row r="94" customFormat="false" ht="15" hidden="false" customHeight="false" outlineLevel="0" collapsed="false">
      <c r="A94" s="11" t="s">
        <v>2313</v>
      </c>
      <c r="B94" s="11" t="s">
        <v>2314</v>
      </c>
      <c r="C94" s="11" t="n">
        <v>4</v>
      </c>
      <c r="D94" s="13" t="n">
        <v>1754301</v>
      </c>
      <c r="E94" s="14" t="s">
        <v>2311</v>
      </c>
      <c r="F94" s="14" t="s">
        <v>2315</v>
      </c>
    </row>
    <row r="95" customFormat="false" ht="35.05" hidden="false" customHeight="false" outlineLevel="0" collapsed="false">
      <c r="A95" s="11" t="s">
        <v>2316</v>
      </c>
      <c r="B95" s="11" t="s">
        <v>2317</v>
      </c>
      <c r="C95" s="11" t="n">
        <v>4</v>
      </c>
      <c r="D95" s="13" t="n">
        <v>186117</v>
      </c>
      <c r="E95" s="14" t="s">
        <v>2249</v>
      </c>
      <c r="F95" s="14" t="s">
        <v>2318</v>
      </c>
    </row>
    <row r="96" customFormat="false" ht="23.85" hidden="false" customHeight="false" outlineLevel="0" collapsed="false">
      <c r="A96" s="11" t="s">
        <v>2043</v>
      </c>
      <c r="B96" s="11" t="s">
        <v>2319</v>
      </c>
      <c r="C96" s="11" t="n">
        <v>4</v>
      </c>
      <c r="D96" s="13" t="n">
        <v>112470.79</v>
      </c>
      <c r="E96" s="14" t="s">
        <v>2243</v>
      </c>
      <c r="F96" s="14" t="s">
        <v>2320</v>
      </c>
    </row>
    <row r="97" customFormat="false" ht="23.85" hidden="false" customHeight="false" outlineLevel="0" collapsed="false">
      <c r="A97" s="11" t="s">
        <v>1296</v>
      </c>
      <c r="B97" s="11" t="s">
        <v>2321</v>
      </c>
      <c r="C97" s="11" t="n">
        <v>3</v>
      </c>
      <c r="D97" s="13" t="n">
        <v>22262.86</v>
      </c>
      <c r="E97" s="14" t="s">
        <v>2322</v>
      </c>
      <c r="F97" s="14" t="s">
        <v>2323</v>
      </c>
    </row>
    <row r="98" customFormat="false" ht="35.05" hidden="false" customHeight="false" outlineLevel="0" collapsed="false">
      <c r="A98" s="11" t="s">
        <v>1719</v>
      </c>
      <c r="B98" s="11" t="s">
        <v>2324</v>
      </c>
      <c r="C98" s="11" t="n">
        <v>3</v>
      </c>
      <c r="D98" s="13" t="n">
        <v>43929</v>
      </c>
      <c r="E98" s="14" t="s">
        <v>2325</v>
      </c>
      <c r="F98" s="14" t="s">
        <v>2326</v>
      </c>
    </row>
    <row r="99" customFormat="false" ht="23.85" hidden="false" customHeight="false" outlineLevel="0" collapsed="false">
      <c r="A99" s="11" t="s">
        <v>1162</v>
      </c>
      <c r="B99" s="11" t="s">
        <v>2327</v>
      </c>
      <c r="C99" s="11" t="n">
        <v>3</v>
      </c>
      <c r="D99" s="13" t="n">
        <v>25120</v>
      </c>
      <c r="E99" s="14" t="s">
        <v>2325</v>
      </c>
      <c r="F99" s="14" t="s">
        <v>2328</v>
      </c>
    </row>
    <row r="100" customFormat="false" ht="23.85" hidden="false" customHeight="false" outlineLevel="0" collapsed="false">
      <c r="A100" s="11" t="s">
        <v>1151</v>
      </c>
      <c r="B100" s="11" t="s">
        <v>2329</v>
      </c>
      <c r="C100" s="11" t="n">
        <v>3</v>
      </c>
      <c r="D100" s="13" t="n">
        <v>64070.4</v>
      </c>
      <c r="E100" s="14" t="s">
        <v>2330</v>
      </c>
      <c r="F100" s="14" t="s">
        <v>2331</v>
      </c>
    </row>
    <row r="101" customFormat="false" ht="15" hidden="false" customHeight="false" outlineLevel="0" collapsed="false">
      <c r="A101" s="11" t="s">
        <v>1174</v>
      </c>
      <c r="B101" s="11" t="s">
        <v>2332</v>
      </c>
      <c r="C101" s="11" t="n">
        <v>3</v>
      </c>
      <c r="D101" s="13" t="n">
        <v>82958.71</v>
      </c>
      <c r="E101" s="14" t="s">
        <v>2333</v>
      </c>
      <c r="F101" s="14" t="s">
        <v>2334</v>
      </c>
    </row>
    <row r="102" customFormat="false" ht="23.85" hidden="false" customHeight="false" outlineLevel="0" collapsed="false">
      <c r="A102" s="11" t="s">
        <v>2335</v>
      </c>
      <c r="B102" s="11" t="s">
        <v>2336</v>
      </c>
      <c r="C102" s="11" t="n">
        <v>3</v>
      </c>
      <c r="D102" s="13" t="n">
        <v>68900</v>
      </c>
      <c r="E102" s="14" t="s">
        <v>2337</v>
      </c>
      <c r="F102" s="14" t="s">
        <v>2338</v>
      </c>
    </row>
    <row r="103" customFormat="false" ht="23.85" hidden="false" customHeight="false" outlineLevel="0" collapsed="false">
      <c r="A103" s="11" t="s">
        <v>1211</v>
      </c>
      <c r="B103" s="11" t="s">
        <v>2339</v>
      </c>
      <c r="C103" s="11" t="n">
        <v>3</v>
      </c>
      <c r="D103" s="13" t="n">
        <v>220684</v>
      </c>
      <c r="E103" s="14" t="s">
        <v>2325</v>
      </c>
      <c r="F103" s="14" t="s">
        <v>2340</v>
      </c>
    </row>
    <row r="104" customFormat="false" ht="23.85" hidden="false" customHeight="false" outlineLevel="0" collapsed="false">
      <c r="A104" s="11" t="s">
        <v>1438</v>
      </c>
      <c r="B104" s="11" t="s">
        <v>2341</v>
      </c>
      <c r="C104" s="11" t="n">
        <v>3</v>
      </c>
      <c r="D104" s="13" t="n">
        <v>33840</v>
      </c>
      <c r="E104" s="14" t="s">
        <v>2325</v>
      </c>
      <c r="F104" s="14" t="s">
        <v>2342</v>
      </c>
    </row>
    <row r="105" customFormat="false" ht="35.05" hidden="false" customHeight="false" outlineLevel="0" collapsed="false">
      <c r="A105" s="11" t="s">
        <v>970</v>
      </c>
      <c r="B105" s="11" t="s">
        <v>971</v>
      </c>
      <c r="C105" s="11" t="n">
        <v>3</v>
      </c>
      <c r="D105" s="13" t="n">
        <v>103388.89</v>
      </c>
      <c r="E105" s="14" t="s">
        <v>2325</v>
      </c>
      <c r="F105" s="14" t="s">
        <v>2343</v>
      </c>
    </row>
    <row r="106" customFormat="false" ht="23.85" hidden="false" customHeight="false" outlineLevel="0" collapsed="false">
      <c r="A106" s="11" t="s">
        <v>1440</v>
      </c>
      <c r="B106" s="11" t="s">
        <v>2344</v>
      </c>
      <c r="C106" s="11" t="n">
        <v>3</v>
      </c>
      <c r="D106" s="13" t="n">
        <v>88221</v>
      </c>
      <c r="E106" s="14" t="s">
        <v>2325</v>
      </c>
      <c r="F106" s="14" t="s">
        <v>2345</v>
      </c>
    </row>
    <row r="107" customFormat="false" ht="15" hidden="false" customHeight="false" outlineLevel="0" collapsed="false">
      <c r="A107" s="11" t="s">
        <v>1192</v>
      </c>
      <c r="B107" s="11" t="s">
        <v>2346</v>
      </c>
      <c r="C107" s="11" t="n">
        <v>3</v>
      </c>
      <c r="D107" s="13" t="n">
        <v>32060</v>
      </c>
      <c r="E107" s="14" t="s">
        <v>2325</v>
      </c>
      <c r="F107" s="14" t="s">
        <v>2347</v>
      </c>
    </row>
    <row r="108" customFormat="false" ht="23.85" hidden="false" customHeight="false" outlineLevel="0" collapsed="false">
      <c r="A108" s="11" t="s">
        <v>1468</v>
      </c>
      <c r="B108" s="11" t="s">
        <v>2348</v>
      </c>
      <c r="C108" s="11" t="n">
        <v>3</v>
      </c>
      <c r="D108" s="13" t="n">
        <v>20567</v>
      </c>
      <c r="E108" s="14" t="s">
        <v>2325</v>
      </c>
      <c r="F108" s="14" t="s">
        <v>2349</v>
      </c>
    </row>
    <row r="109" customFormat="false" ht="35.05" hidden="false" customHeight="false" outlineLevel="0" collapsed="false">
      <c r="A109" s="11" t="s">
        <v>2350</v>
      </c>
      <c r="B109" s="11" t="s">
        <v>2351</v>
      </c>
      <c r="C109" s="11" t="n">
        <v>3</v>
      </c>
      <c r="D109" s="13" t="n">
        <v>55512.84</v>
      </c>
      <c r="E109" s="14" t="s">
        <v>2352</v>
      </c>
      <c r="F109" s="14" t="s">
        <v>2353</v>
      </c>
    </row>
    <row r="110" customFormat="false" ht="35.05" hidden="false" customHeight="false" outlineLevel="0" collapsed="false">
      <c r="A110" s="11" t="s">
        <v>2354</v>
      </c>
      <c r="B110" s="11" t="s">
        <v>2355</v>
      </c>
      <c r="C110" s="11" t="n">
        <v>3</v>
      </c>
      <c r="D110" s="13" t="n">
        <v>19419.1</v>
      </c>
      <c r="E110" s="14" t="s">
        <v>2325</v>
      </c>
      <c r="F110" s="14" t="s">
        <v>2356</v>
      </c>
    </row>
    <row r="111" customFormat="false" ht="23.85" hidden="false" customHeight="false" outlineLevel="0" collapsed="false">
      <c r="A111" s="11" t="s">
        <v>1264</v>
      </c>
      <c r="B111" s="11" t="s">
        <v>2357</v>
      </c>
      <c r="C111" s="11" t="n">
        <v>3</v>
      </c>
      <c r="D111" s="13" t="n">
        <v>89400.02</v>
      </c>
      <c r="E111" s="14" t="s">
        <v>2337</v>
      </c>
      <c r="F111" s="14" t="s">
        <v>2358</v>
      </c>
    </row>
    <row r="112" customFormat="false" ht="23.85" hidden="false" customHeight="false" outlineLevel="0" collapsed="false">
      <c r="A112" s="11" t="s">
        <v>1250</v>
      </c>
      <c r="B112" s="11" t="s">
        <v>2359</v>
      </c>
      <c r="C112" s="11" t="n">
        <v>3</v>
      </c>
      <c r="D112" s="13" t="n">
        <v>48279.77</v>
      </c>
      <c r="E112" s="14" t="s">
        <v>2360</v>
      </c>
      <c r="F112" s="14" t="s">
        <v>2361</v>
      </c>
    </row>
    <row r="113" customFormat="false" ht="15" hidden="false" customHeight="false" outlineLevel="0" collapsed="false">
      <c r="A113" s="11" t="s">
        <v>2362</v>
      </c>
      <c r="B113" s="11" t="s">
        <v>2363</v>
      </c>
      <c r="C113" s="11" t="n">
        <v>3</v>
      </c>
      <c r="D113" s="13" t="n">
        <v>42166.15</v>
      </c>
      <c r="E113" s="14" t="s">
        <v>2364</v>
      </c>
      <c r="F113" s="14" t="s">
        <v>2365</v>
      </c>
    </row>
    <row r="114" customFormat="false" ht="23.85" hidden="false" customHeight="false" outlineLevel="0" collapsed="false">
      <c r="A114" s="11" t="s">
        <v>1292</v>
      </c>
      <c r="B114" s="11" t="s">
        <v>2366</v>
      </c>
      <c r="C114" s="11" t="n">
        <v>3</v>
      </c>
      <c r="D114" s="13" t="n">
        <v>48683</v>
      </c>
      <c r="E114" s="14" t="s">
        <v>2367</v>
      </c>
      <c r="F114" s="14" t="s">
        <v>2368</v>
      </c>
    </row>
    <row r="115" customFormat="false" ht="23.85" hidden="false" customHeight="false" outlineLevel="0" collapsed="false">
      <c r="A115" s="11" t="s">
        <v>1854</v>
      </c>
      <c r="B115" s="11" t="s">
        <v>2369</v>
      </c>
      <c r="C115" s="11" t="n">
        <v>3</v>
      </c>
      <c r="D115" s="13" t="n">
        <v>34820</v>
      </c>
      <c r="E115" s="14" t="s">
        <v>2325</v>
      </c>
      <c r="F115" s="14" t="s">
        <v>2370</v>
      </c>
    </row>
    <row r="116" customFormat="false" ht="15" hidden="false" customHeight="false" outlineLevel="0" collapsed="false">
      <c r="A116" s="11" t="s">
        <v>2371</v>
      </c>
      <c r="B116" s="11" t="s">
        <v>2372</v>
      </c>
      <c r="C116" s="11" t="n">
        <v>3</v>
      </c>
      <c r="D116" s="13" t="n">
        <v>259850</v>
      </c>
      <c r="E116" s="14" t="s">
        <v>2337</v>
      </c>
      <c r="F116" s="14" t="s">
        <v>2373</v>
      </c>
    </row>
    <row r="117" customFormat="false" ht="23.85" hidden="false" customHeight="false" outlineLevel="0" collapsed="false">
      <c r="A117" s="11" t="s">
        <v>1392</v>
      </c>
      <c r="B117" s="11" t="s">
        <v>2374</v>
      </c>
      <c r="C117" s="11" t="n">
        <v>3</v>
      </c>
      <c r="D117" s="13" t="n">
        <v>157117</v>
      </c>
      <c r="E117" s="14" t="s">
        <v>2337</v>
      </c>
      <c r="F117" s="14" t="s">
        <v>2375</v>
      </c>
    </row>
    <row r="118" customFormat="false" ht="23.85" hidden="false" customHeight="false" outlineLevel="0" collapsed="false">
      <c r="A118" s="11" t="s">
        <v>1221</v>
      </c>
      <c r="B118" s="11" t="s">
        <v>2376</v>
      </c>
      <c r="C118" s="11" t="n">
        <v>3</v>
      </c>
      <c r="D118" s="13" t="n">
        <v>113727.31</v>
      </c>
      <c r="E118" s="14" t="s">
        <v>2377</v>
      </c>
      <c r="F118" s="14" t="s">
        <v>2378</v>
      </c>
    </row>
    <row r="119" customFormat="false" ht="23.85" hidden="false" customHeight="false" outlineLevel="0" collapsed="false">
      <c r="A119" s="11" t="s">
        <v>2379</v>
      </c>
      <c r="B119" s="11" t="s">
        <v>2380</v>
      </c>
      <c r="C119" s="11" t="n">
        <v>3</v>
      </c>
      <c r="D119" s="13" t="n">
        <v>27066.13</v>
      </c>
      <c r="E119" s="14" t="s">
        <v>2325</v>
      </c>
      <c r="F119" s="14" t="s">
        <v>2381</v>
      </c>
    </row>
    <row r="120" customFormat="false" ht="35.05" hidden="false" customHeight="false" outlineLevel="0" collapsed="false">
      <c r="A120" s="11" t="s">
        <v>1145</v>
      </c>
      <c r="B120" s="11" t="s">
        <v>2382</v>
      </c>
      <c r="C120" s="11" t="n">
        <v>3</v>
      </c>
      <c r="D120" s="13" t="n">
        <v>122376.3</v>
      </c>
      <c r="E120" s="14" t="s">
        <v>2383</v>
      </c>
      <c r="F120" s="14" t="s">
        <v>2384</v>
      </c>
    </row>
    <row r="121" customFormat="false" ht="23.85" hidden="false" customHeight="false" outlineLevel="0" collapsed="false">
      <c r="A121" s="11" t="s">
        <v>1226</v>
      </c>
      <c r="B121" s="11" t="s">
        <v>2385</v>
      </c>
      <c r="C121" s="11" t="n">
        <v>3</v>
      </c>
      <c r="D121" s="13" t="n">
        <v>159711.01</v>
      </c>
      <c r="E121" s="14" t="s">
        <v>2386</v>
      </c>
      <c r="F121" s="14" t="s">
        <v>2387</v>
      </c>
    </row>
  </sheetData>
  <autoFilter ref="A1:F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2026-10-08T17:22:04Z</dcterms:created>
  <dc:creator>openpyxl</dc:creator>
  <dc:description/>
  <dc:language>en-US</dc:language>
  <cp:lastModifiedBy/>
  <dcterms:modified xsi:type="dcterms:W3CDTF">2026-10-08T17:22:04Z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